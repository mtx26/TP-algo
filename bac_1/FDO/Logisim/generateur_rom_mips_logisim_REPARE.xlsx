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M_Principale" sheetId="1" state="visible" r:id="rId1"/>
    <sheet name="ROM_ALUControl" sheetId="2" state="visible" r:id="rId2"/>
    <sheet name="Map_ROM_Principale" sheetId="3" state="visible" r:id="rId3"/>
    <sheet name="Map_ALUControl" sheetId="4" state="visible" r:id="rId4"/>
    <sheet name="Textes_a_coller" sheetId="5" state="visible" r:id="rId5"/>
    <sheet name="Aide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6" customWidth="1" min="20" max="20"/>
  </cols>
  <sheetData>
    <row r="1">
      <c r="A1" s="1" t="inlineStr">
        <is>
          <t>Opcode HEX</t>
        </is>
      </c>
      <c r="B1" s="1" t="inlineStr">
        <is>
          <t>Opcode DEC</t>
        </is>
      </c>
      <c r="C1" s="1" t="inlineStr">
        <is>
          <t>Instruction</t>
        </is>
      </c>
      <c r="D1" s="1" t="inlineStr">
        <is>
          <t>Actif</t>
        </is>
      </c>
      <c r="E1" s="1" t="inlineStr">
        <is>
          <t>RegWrite</t>
        </is>
      </c>
      <c r="F1" s="1" t="inlineStr">
        <is>
          <t>RegDst</t>
        </is>
      </c>
      <c r="G1" s="1" t="inlineStr">
        <is>
          <t>ALUSrc</t>
        </is>
      </c>
      <c r="H1" s="1" t="inlineStr">
        <is>
          <t>MemRead</t>
        </is>
      </c>
      <c r="I1" s="1" t="inlineStr">
        <is>
          <t>MemWrite</t>
        </is>
      </c>
      <c r="J1" s="1" t="inlineStr">
        <is>
          <t>MemToReg</t>
        </is>
      </c>
      <c r="K1" s="1" t="inlineStr">
        <is>
          <t>Branch</t>
        </is>
      </c>
      <c r="L1" s="1" t="inlineStr">
        <is>
          <t>Jump</t>
        </is>
      </c>
      <c r="M1" s="1" t="inlineStr">
        <is>
          <t>BranchNot</t>
        </is>
      </c>
      <c r="N1" s="1" t="inlineStr">
        <is>
          <t>ALUOp HEX</t>
        </is>
      </c>
      <c r="O1" s="1" t="inlineStr">
        <is>
          <t>ALUOp DEC</t>
        </is>
      </c>
      <c r="P1" s="1" t="inlineStr">
        <is>
          <t>ExtOp</t>
        </is>
      </c>
      <c r="Q1" s="1" t="inlineStr">
        <is>
          <t>jal</t>
        </is>
      </c>
      <c r="R1" s="1" t="inlineStr">
        <is>
          <t>LUI</t>
        </is>
      </c>
      <c r="S1" s="1" t="inlineStr">
        <is>
          <t>Valeur ROM HEX</t>
        </is>
      </c>
      <c r="T1" s="1" t="inlineStr">
        <is>
          <t>Valeur ROM DEC</t>
        </is>
      </c>
    </row>
    <row r="2">
      <c r="A2" s="2">
        <f>DEC2HEX(B2,2)</f>
        <v/>
      </c>
      <c r="B2" s="2" t="n">
        <v>0</v>
      </c>
      <c r="C2" s="2" t="inlineStr">
        <is>
          <t>R-type</t>
        </is>
      </c>
      <c r="D2" s="2" t="inlineStr">
        <is>
          <t>Oui</t>
        </is>
      </c>
      <c r="E2" s="2" t="n">
        <v>1</v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>
        <f>DEC2HEX(O2,2)</f>
        <v/>
      </c>
      <c r="O2" s="2" t="n">
        <v>2</v>
      </c>
      <c r="P2" s="2" t="n">
        <v>0</v>
      </c>
      <c r="Q2" s="2" t="n">
        <v>0</v>
      </c>
      <c r="R2" s="2" t="n">
        <v>0</v>
      </c>
      <c r="S2" s="2">
        <f>DEC2HEX(T2,4)</f>
        <v/>
      </c>
      <c r="T2" s="2">
        <f>IF(D2="Oui",E2*1+F2*2+G2*4+H2*8+I2*16+J2*32+K2*64+L2*128+M2*256+O2*512+P2*2048+Q2*4096+R2*8192,0)</f>
        <v/>
      </c>
    </row>
    <row r="3">
      <c r="A3" s="2">
        <f>DEC2HEX(B3,2)</f>
        <v/>
      </c>
      <c r="B3" s="2" t="n">
        <v>2</v>
      </c>
      <c r="C3" s="2" t="inlineStr">
        <is>
          <t>j</t>
        </is>
      </c>
      <c r="D3" s="2" t="inlineStr">
        <is>
          <t>Oui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</v>
      </c>
      <c r="M3" s="2" t="n">
        <v>0</v>
      </c>
      <c r="N3" s="2">
        <f>DEC2HEX(O3,2)</f>
        <v/>
      </c>
      <c r="O3" s="2" t="n">
        <v>0</v>
      </c>
      <c r="P3" s="2" t="n">
        <v>0</v>
      </c>
      <c r="Q3" s="2" t="n">
        <v>0</v>
      </c>
      <c r="R3" s="2" t="n">
        <v>0</v>
      </c>
      <c r="S3" s="2">
        <f>DEC2HEX(T3,4)</f>
        <v/>
      </c>
      <c r="T3" s="2">
        <f>IF(D3="Oui",E3*1+F3*2+G3*4+H3*8+I3*16+J3*32+K3*64+L3*128+M3*256+O3*512+P3*2048+Q3*4096+R3*8192,0)</f>
        <v/>
      </c>
    </row>
    <row r="4">
      <c r="A4" s="2">
        <f>DEC2HEX(B4,2)</f>
        <v/>
      </c>
      <c r="B4" s="2" t="n">
        <v>3</v>
      </c>
      <c r="C4" s="2" t="inlineStr">
        <is>
          <t>jal</t>
        </is>
      </c>
      <c r="D4" s="2" t="inlineStr">
        <is>
          <t>Oui</t>
        </is>
      </c>
      <c r="E4" s="2" t="n">
        <v>1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</v>
      </c>
      <c r="M4" s="2" t="n">
        <v>0</v>
      </c>
      <c r="N4" s="2">
        <f>DEC2HEX(O4,2)</f>
        <v/>
      </c>
      <c r="O4" s="2" t="n">
        <v>0</v>
      </c>
      <c r="P4" s="2" t="n">
        <v>0</v>
      </c>
      <c r="Q4" s="2" t="n">
        <v>1</v>
      </c>
      <c r="R4" s="2" t="n">
        <v>0</v>
      </c>
      <c r="S4" s="2">
        <f>DEC2HEX(T4,4)</f>
        <v/>
      </c>
      <c r="T4" s="2">
        <f>IF(D4="Oui",E4*1+F4*2+G4*4+H4*8+I4*16+J4*32+K4*64+L4*128+M4*256+O4*512+P4*2048+Q4*4096+R4*8192,0)</f>
        <v/>
      </c>
    </row>
    <row r="5">
      <c r="A5" s="2">
        <f>DEC2HEX(B5,2)</f>
        <v/>
      </c>
      <c r="B5" s="2" t="n">
        <v>4</v>
      </c>
      <c r="C5" s="2" t="inlineStr">
        <is>
          <t>beq</t>
        </is>
      </c>
      <c r="D5" s="2" t="inlineStr">
        <is>
          <t>Oui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1</v>
      </c>
      <c r="L5" s="2" t="n">
        <v>0</v>
      </c>
      <c r="M5" s="2" t="n">
        <v>0</v>
      </c>
      <c r="N5" s="2">
        <f>DEC2HEX(O5,2)</f>
        <v/>
      </c>
      <c r="O5" s="2" t="n">
        <v>1</v>
      </c>
      <c r="P5" s="2" t="n">
        <v>0</v>
      </c>
      <c r="Q5" s="2" t="n">
        <v>0</v>
      </c>
      <c r="R5" s="2" t="n">
        <v>0</v>
      </c>
      <c r="S5" s="2">
        <f>DEC2HEX(T5,4)</f>
        <v/>
      </c>
      <c r="T5" s="2">
        <f>IF(D5="Oui",E5*1+F5*2+G5*4+H5*8+I5*16+J5*32+K5*64+L5*128+M5*256+O5*512+P5*2048+Q5*4096+R5*8192,0)</f>
        <v/>
      </c>
    </row>
    <row r="6">
      <c r="A6" s="2">
        <f>DEC2HEX(B6,2)</f>
        <v/>
      </c>
      <c r="B6" s="2" t="n">
        <v>5</v>
      </c>
      <c r="C6" s="2" t="inlineStr">
        <is>
          <t>bne</t>
        </is>
      </c>
      <c r="D6" s="2" t="inlineStr">
        <is>
          <t>Oui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</v>
      </c>
      <c r="N6" s="2">
        <f>DEC2HEX(O6,2)</f>
        <v/>
      </c>
      <c r="O6" s="2" t="n">
        <v>1</v>
      </c>
      <c r="P6" s="2" t="n">
        <v>0</v>
      </c>
      <c r="Q6" s="2" t="n">
        <v>0</v>
      </c>
      <c r="R6" s="2" t="n">
        <v>0</v>
      </c>
      <c r="S6" s="2">
        <f>DEC2HEX(T6,4)</f>
        <v/>
      </c>
      <c r="T6" s="2">
        <f>IF(D6="Oui",E6*1+F6*2+G6*4+H6*8+I6*16+J6*32+K6*64+L6*128+M6*256+O6*512+P6*2048+Q6*4096+R6*8192,0)</f>
        <v/>
      </c>
    </row>
    <row r="7">
      <c r="A7" s="2">
        <f>DEC2HEX(B7,2)</f>
        <v/>
      </c>
      <c r="B7" s="2" t="n">
        <v>8</v>
      </c>
      <c r="C7" s="2" t="inlineStr">
        <is>
          <t>addi</t>
        </is>
      </c>
      <c r="D7" s="2" t="inlineStr">
        <is>
          <t>Oui</t>
        </is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>
        <f>DEC2HEX(O7,2)</f>
        <v/>
      </c>
      <c r="O7" s="2" t="n">
        <v>0</v>
      </c>
      <c r="P7" s="2" t="n">
        <v>1</v>
      </c>
      <c r="Q7" s="2" t="n">
        <v>0</v>
      </c>
      <c r="R7" s="2" t="n">
        <v>0</v>
      </c>
      <c r="S7" s="2">
        <f>DEC2HEX(T7,4)</f>
        <v/>
      </c>
      <c r="T7" s="2">
        <f>IF(D7="Oui",E7*1+F7*2+G7*4+H7*8+I7*16+J7*32+K7*64+L7*128+M7*256+O7*512+P7*2048+Q7*4096+R7*8192,0)</f>
        <v/>
      </c>
    </row>
    <row r="8">
      <c r="A8" s="2">
        <f>DEC2HEX(B8,2)</f>
        <v/>
      </c>
      <c r="B8" s="2" t="n">
        <v>13</v>
      </c>
      <c r="C8" s="2" t="inlineStr">
        <is>
          <t>ori</t>
        </is>
      </c>
      <c r="D8" s="2" t="inlineStr">
        <is>
          <t>Oui</t>
        </is>
      </c>
      <c r="E8" s="2" t="n">
        <v>1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>
        <f>DEC2HEX(O8,2)</f>
        <v/>
      </c>
      <c r="O8" s="2" t="n">
        <v>3</v>
      </c>
      <c r="P8" s="2" t="n">
        <v>0</v>
      </c>
      <c r="Q8" s="2" t="n">
        <v>0</v>
      </c>
      <c r="R8" s="2" t="n">
        <v>0</v>
      </c>
      <c r="S8" s="2">
        <f>DEC2HEX(T8,4)</f>
        <v/>
      </c>
      <c r="T8" s="2">
        <f>IF(D8="Oui",E8*1+F8*2+G8*4+H8*8+I8*16+J8*32+K8*64+L8*128+M8*256+O8*512+P8*2048+Q8*4096+R8*8192,0)</f>
        <v/>
      </c>
    </row>
    <row r="9">
      <c r="A9" s="2">
        <f>DEC2HEX(B9,2)</f>
        <v/>
      </c>
      <c r="B9" s="2" t="n">
        <v>15</v>
      </c>
      <c r="C9" s="2" t="inlineStr">
        <is>
          <t>lui</t>
        </is>
      </c>
      <c r="D9" s="2" t="inlineStr">
        <is>
          <t>Oui</t>
        </is>
      </c>
      <c r="E9" s="2" t="n">
        <v>1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>
        <f>DEC2HEX(O9,2)</f>
        <v/>
      </c>
      <c r="O9" s="2" t="n">
        <v>0</v>
      </c>
      <c r="P9" s="2" t="n">
        <v>0</v>
      </c>
      <c r="Q9" s="2" t="n">
        <v>0</v>
      </c>
      <c r="R9" s="2" t="n">
        <v>1</v>
      </c>
      <c r="S9" s="2">
        <f>DEC2HEX(T9,4)</f>
        <v/>
      </c>
      <c r="T9" s="2">
        <f>IF(D9="Oui",E9*1+F9*2+G9*4+H9*8+I9*16+J9*32+K9*64+L9*128+M9*256+O9*512+P9*2048+Q9*4096+R9*8192,0)</f>
        <v/>
      </c>
    </row>
    <row r="10">
      <c r="A10" s="2">
        <f>DEC2HEX(B10,2)</f>
        <v/>
      </c>
      <c r="B10" s="2" t="n">
        <v>35</v>
      </c>
      <c r="C10" s="2" t="inlineStr">
        <is>
          <t>lw</t>
        </is>
      </c>
      <c r="D10" s="2" t="inlineStr">
        <is>
          <t>Oui</t>
        </is>
      </c>
      <c r="E10" s="2" t="n">
        <v>1</v>
      </c>
      <c r="F10" s="2" t="n">
        <v>0</v>
      </c>
      <c r="G10" s="2" t="n">
        <v>1</v>
      </c>
      <c r="H10" s="2" t="n">
        <v>1</v>
      </c>
      <c r="I10" s="2" t="n">
        <v>0</v>
      </c>
      <c r="J10" s="2" t="n">
        <v>1</v>
      </c>
      <c r="K10" s="2" t="n">
        <v>0</v>
      </c>
      <c r="L10" s="2" t="n">
        <v>0</v>
      </c>
      <c r="M10" s="2" t="n">
        <v>0</v>
      </c>
      <c r="N10" s="2">
        <f>DEC2HEX(O10,2)</f>
        <v/>
      </c>
      <c r="O10" s="2" t="n">
        <v>0</v>
      </c>
      <c r="P10" s="2" t="n">
        <v>1</v>
      </c>
      <c r="Q10" s="2" t="n">
        <v>0</v>
      </c>
      <c r="R10" s="2" t="n">
        <v>0</v>
      </c>
      <c r="S10" s="2">
        <f>DEC2HEX(T10,4)</f>
        <v/>
      </c>
      <c r="T10" s="2">
        <f>IF(D10="Oui",E10*1+F10*2+G10*4+H10*8+I10*16+J10*32+K10*64+L10*128+M10*256+O10*512+P10*2048+Q10*4096+R10*8192,0)</f>
        <v/>
      </c>
    </row>
    <row r="11">
      <c r="A11" s="2">
        <f>DEC2HEX(B11,2)</f>
        <v/>
      </c>
      <c r="B11" s="2" t="n">
        <v>43</v>
      </c>
      <c r="C11" s="2" t="inlineStr">
        <is>
          <t>sw</t>
        </is>
      </c>
      <c r="D11" s="2" t="inlineStr">
        <is>
          <t>Oui</t>
        </is>
      </c>
      <c r="E11" s="2" t="n">
        <v>0</v>
      </c>
      <c r="F11" s="2" t="n">
        <v>0</v>
      </c>
      <c r="G11" s="2" t="n">
        <v>1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>
        <f>DEC2HEX(O11,2)</f>
        <v/>
      </c>
      <c r="O11" s="2" t="n">
        <v>0</v>
      </c>
      <c r="P11" s="2" t="n">
        <v>1</v>
      </c>
      <c r="Q11" s="2" t="n">
        <v>0</v>
      </c>
      <c r="R11" s="2" t="n">
        <v>0</v>
      </c>
      <c r="S11" s="2">
        <f>DEC2HEX(T11,4)</f>
        <v/>
      </c>
      <c r="T11" s="2">
        <f>IF(D11="Oui",E11*1+F11*2+G11*4+H11*8+I11*16+J11*32+K11*64+L11*128+M11*256+O11*512+P11*2048+Q11*4096+R11*8192,0)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Funct HEX</t>
        </is>
      </c>
      <c r="B1" s="1" t="inlineStr">
        <is>
          <t>Funct DEC</t>
        </is>
      </c>
      <c r="C1" s="1" t="inlineStr">
        <is>
          <t>Instruction</t>
        </is>
      </c>
      <c r="D1" s="1" t="inlineStr">
        <is>
          <t>Actif</t>
        </is>
      </c>
      <c r="E1" s="1" t="inlineStr">
        <is>
          <t>AInvert</t>
        </is>
      </c>
      <c r="F1" s="1" t="inlineStr">
        <is>
          <t>BNegate</t>
        </is>
      </c>
      <c r="G1" s="1" t="inlineStr">
        <is>
          <t>OPR HEX</t>
        </is>
      </c>
      <c r="H1" s="1" t="inlineStr">
        <is>
          <t>OPR DEC</t>
        </is>
      </c>
      <c r="I1" s="1" t="inlineStr">
        <is>
          <t>JR</t>
        </is>
      </c>
      <c r="J1" s="1" t="inlineStr">
        <is>
          <t>Valeur HEX</t>
        </is>
      </c>
      <c r="K1" s="1" t="inlineStr">
        <is>
          <t>Valeur DEC</t>
        </is>
      </c>
    </row>
    <row r="2">
      <c r="A2" s="2">
        <f>DEC2HEX(B2,2)</f>
        <v/>
      </c>
      <c r="B2" s="2" t="n">
        <v>0</v>
      </c>
      <c r="C2" s="2" t="inlineStr">
        <is>
          <t>sll</t>
        </is>
      </c>
      <c r="D2" s="2" t="inlineStr">
        <is>
          <t>Oui</t>
        </is>
      </c>
      <c r="E2" s="2" t="n">
        <v>0</v>
      </c>
      <c r="F2" s="2" t="n">
        <v>0</v>
      </c>
      <c r="G2" s="2">
        <f>DEC2HEX(H2,2)</f>
        <v/>
      </c>
      <c r="H2" s="2" t="n">
        <v>0</v>
      </c>
      <c r="I2" s="2" t="n">
        <v>0</v>
      </c>
      <c r="J2" s="2">
        <f>DEC2HEX(K2,2)</f>
        <v/>
      </c>
      <c r="K2" s="2">
        <f>IF(D2="Oui",E2*16+F2*2+H2*4+I2,0)</f>
        <v/>
      </c>
    </row>
    <row r="3">
      <c r="A3" s="2">
        <f>DEC2HEX(B3,2)</f>
        <v/>
      </c>
      <c r="B3" s="2" t="n">
        <v>2</v>
      </c>
      <c r="C3" s="2" t="inlineStr">
        <is>
          <t>srl</t>
        </is>
      </c>
      <c r="D3" s="2" t="inlineStr">
        <is>
          <t>Oui</t>
        </is>
      </c>
      <c r="E3" s="2" t="n">
        <v>0</v>
      </c>
      <c r="F3" s="2" t="n">
        <v>0</v>
      </c>
      <c r="G3" s="2">
        <f>DEC2HEX(H3,2)</f>
        <v/>
      </c>
      <c r="H3" s="2" t="n">
        <v>1</v>
      </c>
      <c r="I3" s="2" t="n">
        <v>0</v>
      </c>
      <c r="J3" s="2">
        <f>DEC2HEX(K3,2)</f>
        <v/>
      </c>
      <c r="K3" s="2">
        <f>IF(D3="Oui",E3*16+F3*2+H3*4+I3,0)</f>
        <v/>
      </c>
    </row>
    <row r="4">
      <c r="A4" s="2">
        <f>DEC2HEX(B4,2)</f>
        <v/>
      </c>
      <c r="B4" s="2" t="n">
        <v>8</v>
      </c>
      <c r="C4" s="2" t="inlineStr">
        <is>
          <t>jr</t>
        </is>
      </c>
      <c r="D4" s="2" t="inlineStr">
        <is>
          <t>Oui</t>
        </is>
      </c>
      <c r="E4" s="2" t="n">
        <v>0</v>
      </c>
      <c r="F4" s="2" t="n">
        <v>0</v>
      </c>
      <c r="G4" s="2">
        <f>DEC2HEX(H4,2)</f>
        <v/>
      </c>
      <c r="H4" s="2" t="n">
        <v>0</v>
      </c>
      <c r="I4" s="2" t="n">
        <v>1</v>
      </c>
      <c r="J4" s="2">
        <f>DEC2HEX(K4,2)</f>
        <v/>
      </c>
      <c r="K4" s="2">
        <f>IF(D4="Oui",E4*16+F4*2+H4*4+I4,0)</f>
        <v/>
      </c>
    </row>
    <row r="5">
      <c r="A5" s="2">
        <f>DEC2HEX(B5,2)</f>
        <v/>
      </c>
      <c r="B5" s="2" t="n">
        <v>32</v>
      </c>
      <c r="C5" s="2" t="inlineStr">
        <is>
          <t>add</t>
        </is>
      </c>
      <c r="D5" s="2" t="inlineStr">
        <is>
          <t>Oui</t>
        </is>
      </c>
      <c r="E5" s="2" t="n">
        <v>0</v>
      </c>
      <c r="F5" s="2" t="n">
        <v>0</v>
      </c>
      <c r="G5" s="2">
        <f>DEC2HEX(H5,2)</f>
        <v/>
      </c>
      <c r="H5" s="2" t="n">
        <v>2</v>
      </c>
      <c r="I5" s="2" t="n">
        <v>0</v>
      </c>
      <c r="J5" s="2">
        <f>DEC2HEX(K5,2)</f>
        <v/>
      </c>
      <c r="K5" s="2">
        <f>IF(D5="Oui",E5*16+F5*2+H5*4+I5,0)</f>
        <v/>
      </c>
    </row>
    <row r="6">
      <c r="A6" s="2">
        <f>DEC2HEX(B6,2)</f>
        <v/>
      </c>
      <c r="B6" s="2" t="n">
        <v>34</v>
      </c>
      <c r="C6" s="2" t="inlineStr">
        <is>
          <t>sub</t>
        </is>
      </c>
      <c r="D6" s="2" t="inlineStr">
        <is>
          <t>Oui</t>
        </is>
      </c>
      <c r="E6" s="2" t="n">
        <v>0</v>
      </c>
      <c r="F6" s="2" t="n">
        <v>1</v>
      </c>
      <c r="G6" s="2">
        <f>DEC2HEX(H6,2)</f>
        <v/>
      </c>
      <c r="H6" s="2" t="n">
        <v>2</v>
      </c>
      <c r="I6" s="2" t="n">
        <v>0</v>
      </c>
      <c r="J6" s="2">
        <f>DEC2HEX(K6,2)</f>
        <v/>
      </c>
      <c r="K6" s="2">
        <f>IF(D6="Oui",E6*16+F6*2+H6*4+I6,0)</f>
        <v/>
      </c>
    </row>
    <row r="7">
      <c r="A7" s="2">
        <f>DEC2HEX(B7,2)</f>
        <v/>
      </c>
      <c r="B7" s="2" t="n">
        <v>36</v>
      </c>
      <c r="C7" s="2" t="inlineStr">
        <is>
          <t>and</t>
        </is>
      </c>
      <c r="D7" s="2" t="inlineStr">
        <is>
          <t>Oui</t>
        </is>
      </c>
      <c r="E7" s="2" t="n">
        <v>0</v>
      </c>
      <c r="F7" s="2" t="n">
        <v>0</v>
      </c>
      <c r="G7" s="2">
        <f>DEC2HEX(H7,2)</f>
        <v/>
      </c>
      <c r="H7" s="2" t="n">
        <v>0</v>
      </c>
      <c r="I7" s="2" t="n">
        <v>0</v>
      </c>
      <c r="J7" s="2">
        <f>DEC2HEX(K7,2)</f>
        <v/>
      </c>
      <c r="K7" s="2">
        <f>IF(D7="Oui",E7*16+F7*2+H7*4+I7,0)</f>
        <v/>
      </c>
    </row>
    <row r="8">
      <c r="A8" s="2">
        <f>DEC2HEX(B8,2)</f>
        <v/>
      </c>
      <c r="B8" s="2" t="n">
        <v>37</v>
      </c>
      <c r="C8" s="2" t="inlineStr">
        <is>
          <t>or</t>
        </is>
      </c>
      <c r="D8" s="2" t="inlineStr">
        <is>
          <t>Oui</t>
        </is>
      </c>
      <c r="E8" s="2" t="n">
        <v>0</v>
      </c>
      <c r="F8" s="2" t="n">
        <v>0</v>
      </c>
      <c r="G8" s="2">
        <f>DEC2HEX(H8,2)</f>
        <v/>
      </c>
      <c r="H8" s="2" t="n">
        <v>1</v>
      </c>
      <c r="I8" s="2" t="n">
        <v>0</v>
      </c>
      <c r="J8" s="2">
        <f>DEC2HEX(K8,2)</f>
        <v/>
      </c>
      <c r="K8" s="2">
        <f>IF(D8="Oui",E8*16+F8*2+H8*4+I8,0)</f>
        <v/>
      </c>
    </row>
    <row r="9">
      <c r="A9" s="2">
        <f>DEC2HEX(B9,2)</f>
        <v/>
      </c>
      <c r="B9" s="2" t="n">
        <v>42</v>
      </c>
      <c r="C9" s="2" t="inlineStr">
        <is>
          <t>slt</t>
        </is>
      </c>
      <c r="D9" s="2" t="inlineStr">
        <is>
          <t>Oui</t>
        </is>
      </c>
      <c r="E9" s="2" t="n">
        <v>0</v>
      </c>
      <c r="F9" s="2" t="n">
        <v>1</v>
      </c>
      <c r="G9" s="2">
        <f>DEC2HEX(H9,2)</f>
        <v/>
      </c>
      <c r="H9" s="2" t="n">
        <v>3</v>
      </c>
      <c r="I9" s="2" t="n">
        <v>0</v>
      </c>
      <c r="J9" s="2">
        <f>DEC2HEX(K9,2)</f>
        <v/>
      </c>
      <c r="K9" s="2">
        <f>IF(D9="Oui",E9*16+F9*2+H9*4+I9,0)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>
      <c r="A1" s="1" t="inlineStr">
        <is>
          <t>Adresse DEC</t>
        </is>
      </c>
      <c r="B1" s="1" t="inlineStr">
        <is>
          <t>Adresse HEX</t>
        </is>
      </c>
      <c r="C1" s="1" t="inlineStr">
        <is>
          <t>Valeur HEX</t>
        </is>
      </c>
    </row>
    <row r="2">
      <c r="A2" s="2" t="n">
        <v>0</v>
      </c>
      <c r="B2" s="2">
        <f>DEC2HEX(A2,2)</f>
        <v/>
      </c>
      <c r="C2" s="2">
        <f>IFERROR(INDEX(ROM_Principale!$S$2:$S$64,MATCH(A2,ROM_Principale!$B$2:$B$64,0)),"0000")</f>
        <v/>
      </c>
    </row>
    <row r="3">
      <c r="A3" s="2" t="n">
        <v>1</v>
      </c>
      <c r="B3" s="2">
        <f>DEC2HEX(A3,2)</f>
        <v/>
      </c>
      <c r="C3" s="2">
        <f>IFERROR(INDEX(ROM_Principale!$S$2:$S$64,MATCH(A3,ROM_Principale!$B$2:$B$64,0)),"0000")</f>
        <v/>
      </c>
    </row>
    <row r="4">
      <c r="A4" s="2" t="n">
        <v>2</v>
      </c>
      <c r="B4" s="2">
        <f>DEC2HEX(A4,2)</f>
        <v/>
      </c>
      <c r="C4" s="2">
        <f>IFERROR(INDEX(ROM_Principale!$S$2:$S$64,MATCH(A4,ROM_Principale!$B$2:$B$64,0)),"0000")</f>
        <v/>
      </c>
    </row>
    <row r="5">
      <c r="A5" s="2" t="n">
        <v>3</v>
      </c>
      <c r="B5" s="2">
        <f>DEC2HEX(A5,2)</f>
        <v/>
      </c>
      <c r="C5" s="2">
        <f>IFERROR(INDEX(ROM_Principale!$S$2:$S$64,MATCH(A5,ROM_Principale!$B$2:$B$64,0)),"0000")</f>
        <v/>
      </c>
    </row>
    <row r="6">
      <c r="A6" s="2" t="n">
        <v>4</v>
      </c>
      <c r="B6" s="2">
        <f>DEC2HEX(A6,2)</f>
        <v/>
      </c>
      <c r="C6" s="2">
        <f>IFERROR(INDEX(ROM_Principale!$S$2:$S$64,MATCH(A6,ROM_Principale!$B$2:$B$64,0)),"0000")</f>
        <v/>
      </c>
    </row>
    <row r="7">
      <c r="A7" s="2" t="n">
        <v>5</v>
      </c>
      <c r="B7" s="2">
        <f>DEC2HEX(A7,2)</f>
        <v/>
      </c>
      <c r="C7" s="2">
        <f>IFERROR(INDEX(ROM_Principale!$S$2:$S$64,MATCH(A7,ROM_Principale!$B$2:$B$64,0)),"0000")</f>
        <v/>
      </c>
    </row>
    <row r="8">
      <c r="A8" s="2" t="n">
        <v>6</v>
      </c>
      <c r="B8" s="2">
        <f>DEC2HEX(A8,2)</f>
        <v/>
      </c>
      <c r="C8" s="2">
        <f>IFERROR(INDEX(ROM_Principale!$S$2:$S$64,MATCH(A8,ROM_Principale!$B$2:$B$64,0)),"0000")</f>
        <v/>
      </c>
    </row>
    <row r="9">
      <c r="A9" s="2" t="n">
        <v>7</v>
      </c>
      <c r="B9" s="2">
        <f>DEC2HEX(A9,2)</f>
        <v/>
      </c>
      <c r="C9" s="2">
        <f>IFERROR(INDEX(ROM_Principale!$S$2:$S$64,MATCH(A9,ROM_Principale!$B$2:$B$64,0)),"0000")</f>
        <v/>
      </c>
    </row>
    <row r="10">
      <c r="A10" s="2" t="n">
        <v>8</v>
      </c>
      <c r="B10" s="2">
        <f>DEC2HEX(A10,2)</f>
        <v/>
      </c>
      <c r="C10" s="2">
        <f>IFERROR(INDEX(ROM_Principale!$S$2:$S$64,MATCH(A10,ROM_Principale!$B$2:$B$64,0)),"0000")</f>
        <v/>
      </c>
    </row>
    <row r="11">
      <c r="A11" s="2" t="n">
        <v>9</v>
      </c>
      <c r="B11" s="2">
        <f>DEC2HEX(A11,2)</f>
        <v/>
      </c>
      <c r="C11" s="2">
        <f>IFERROR(INDEX(ROM_Principale!$S$2:$S$64,MATCH(A11,ROM_Principale!$B$2:$B$64,0)),"0000")</f>
        <v/>
      </c>
    </row>
    <row r="12">
      <c r="A12" s="2" t="n">
        <v>10</v>
      </c>
      <c r="B12" s="2">
        <f>DEC2HEX(A12,2)</f>
        <v/>
      </c>
      <c r="C12" s="2">
        <f>IFERROR(INDEX(ROM_Principale!$S$2:$S$64,MATCH(A12,ROM_Principale!$B$2:$B$64,0)),"0000")</f>
        <v/>
      </c>
    </row>
    <row r="13">
      <c r="A13" s="2" t="n">
        <v>11</v>
      </c>
      <c r="B13" s="2">
        <f>DEC2HEX(A13,2)</f>
        <v/>
      </c>
      <c r="C13" s="2">
        <f>IFERROR(INDEX(ROM_Principale!$S$2:$S$64,MATCH(A13,ROM_Principale!$B$2:$B$64,0)),"0000")</f>
        <v/>
      </c>
    </row>
    <row r="14">
      <c r="A14" s="2" t="n">
        <v>12</v>
      </c>
      <c r="B14" s="2">
        <f>DEC2HEX(A14,2)</f>
        <v/>
      </c>
      <c r="C14" s="2">
        <f>IFERROR(INDEX(ROM_Principale!$S$2:$S$64,MATCH(A14,ROM_Principale!$B$2:$B$64,0)),"0000")</f>
        <v/>
      </c>
    </row>
    <row r="15">
      <c r="A15" s="2" t="n">
        <v>13</v>
      </c>
      <c r="B15" s="2">
        <f>DEC2HEX(A15,2)</f>
        <v/>
      </c>
      <c r="C15" s="2">
        <f>IFERROR(INDEX(ROM_Principale!$S$2:$S$64,MATCH(A15,ROM_Principale!$B$2:$B$64,0)),"0000")</f>
        <v/>
      </c>
    </row>
    <row r="16">
      <c r="A16" s="2" t="n">
        <v>14</v>
      </c>
      <c r="B16" s="2">
        <f>DEC2HEX(A16,2)</f>
        <v/>
      </c>
      <c r="C16" s="2">
        <f>IFERROR(INDEX(ROM_Principale!$S$2:$S$64,MATCH(A16,ROM_Principale!$B$2:$B$64,0)),"0000")</f>
        <v/>
      </c>
    </row>
    <row r="17">
      <c r="A17" s="2" t="n">
        <v>15</v>
      </c>
      <c r="B17" s="2">
        <f>DEC2HEX(A17,2)</f>
        <v/>
      </c>
      <c r="C17" s="2">
        <f>IFERROR(INDEX(ROM_Principale!$S$2:$S$64,MATCH(A17,ROM_Principale!$B$2:$B$64,0)),"0000")</f>
        <v/>
      </c>
    </row>
    <row r="18">
      <c r="A18" s="2" t="n">
        <v>16</v>
      </c>
      <c r="B18" s="2">
        <f>DEC2HEX(A18,2)</f>
        <v/>
      </c>
      <c r="C18" s="2">
        <f>IFERROR(INDEX(ROM_Principale!$S$2:$S$64,MATCH(A18,ROM_Principale!$B$2:$B$64,0)),"0000")</f>
        <v/>
      </c>
    </row>
    <row r="19">
      <c r="A19" s="2" t="n">
        <v>17</v>
      </c>
      <c r="B19" s="2">
        <f>DEC2HEX(A19,2)</f>
        <v/>
      </c>
      <c r="C19" s="2">
        <f>IFERROR(INDEX(ROM_Principale!$S$2:$S$64,MATCH(A19,ROM_Principale!$B$2:$B$64,0)),"0000")</f>
        <v/>
      </c>
    </row>
    <row r="20">
      <c r="A20" s="2" t="n">
        <v>18</v>
      </c>
      <c r="B20" s="2">
        <f>DEC2HEX(A20,2)</f>
        <v/>
      </c>
      <c r="C20" s="2">
        <f>IFERROR(INDEX(ROM_Principale!$S$2:$S$64,MATCH(A20,ROM_Principale!$B$2:$B$64,0)),"0000")</f>
        <v/>
      </c>
    </row>
    <row r="21">
      <c r="A21" s="2" t="n">
        <v>19</v>
      </c>
      <c r="B21" s="2">
        <f>DEC2HEX(A21,2)</f>
        <v/>
      </c>
      <c r="C21" s="2">
        <f>IFERROR(INDEX(ROM_Principale!$S$2:$S$64,MATCH(A21,ROM_Principale!$B$2:$B$64,0)),"0000")</f>
        <v/>
      </c>
    </row>
    <row r="22">
      <c r="A22" s="2" t="n">
        <v>20</v>
      </c>
      <c r="B22" s="2">
        <f>DEC2HEX(A22,2)</f>
        <v/>
      </c>
      <c r="C22" s="2">
        <f>IFERROR(INDEX(ROM_Principale!$S$2:$S$64,MATCH(A22,ROM_Principale!$B$2:$B$64,0)),"0000")</f>
        <v/>
      </c>
    </row>
    <row r="23">
      <c r="A23" s="2" t="n">
        <v>21</v>
      </c>
      <c r="B23" s="2">
        <f>DEC2HEX(A23,2)</f>
        <v/>
      </c>
      <c r="C23" s="2">
        <f>IFERROR(INDEX(ROM_Principale!$S$2:$S$64,MATCH(A23,ROM_Principale!$B$2:$B$64,0)),"0000")</f>
        <v/>
      </c>
    </row>
    <row r="24">
      <c r="A24" s="2" t="n">
        <v>22</v>
      </c>
      <c r="B24" s="2">
        <f>DEC2HEX(A24,2)</f>
        <v/>
      </c>
      <c r="C24" s="2">
        <f>IFERROR(INDEX(ROM_Principale!$S$2:$S$64,MATCH(A24,ROM_Principale!$B$2:$B$64,0)),"0000")</f>
        <v/>
      </c>
    </row>
    <row r="25">
      <c r="A25" s="2" t="n">
        <v>23</v>
      </c>
      <c r="B25" s="2">
        <f>DEC2HEX(A25,2)</f>
        <v/>
      </c>
      <c r="C25" s="2">
        <f>IFERROR(INDEX(ROM_Principale!$S$2:$S$64,MATCH(A25,ROM_Principale!$B$2:$B$64,0)),"0000")</f>
        <v/>
      </c>
    </row>
    <row r="26">
      <c r="A26" s="2" t="n">
        <v>24</v>
      </c>
      <c r="B26" s="2">
        <f>DEC2HEX(A26,2)</f>
        <v/>
      </c>
      <c r="C26" s="2">
        <f>IFERROR(INDEX(ROM_Principale!$S$2:$S$64,MATCH(A26,ROM_Principale!$B$2:$B$64,0)),"0000")</f>
        <v/>
      </c>
    </row>
    <row r="27">
      <c r="A27" s="2" t="n">
        <v>25</v>
      </c>
      <c r="B27" s="2">
        <f>DEC2HEX(A27,2)</f>
        <v/>
      </c>
      <c r="C27" s="2">
        <f>IFERROR(INDEX(ROM_Principale!$S$2:$S$64,MATCH(A27,ROM_Principale!$B$2:$B$64,0)),"0000")</f>
        <v/>
      </c>
    </row>
    <row r="28">
      <c r="A28" s="2" t="n">
        <v>26</v>
      </c>
      <c r="B28" s="2">
        <f>DEC2HEX(A28,2)</f>
        <v/>
      </c>
      <c r="C28" s="2">
        <f>IFERROR(INDEX(ROM_Principale!$S$2:$S$64,MATCH(A28,ROM_Principale!$B$2:$B$64,0)),"0000")</f>
        <v/>
      </c>
    </row>
    <row r="29">
      <c r="A29" s="2" t="n">
        <v>27</v>
      </c>
      <c r="B29" s="2">
        <f>DEC2HEX(A29,2)</f>
        <v/>
      </c>
      <c r="C29" s="2">
        <f>IFERROR(INDEX(ROM_Principale!$S$2:$S$64,MATCH(A29,ROM_Principale!$B$2:$B$64,0)),"0000")</f>
        <v/>
      </c>
    </row>
    <row r="30">
      <c r="A30" s="2" t="n">
        <v>28</v>
      </c>
      <c r="B30" s="2">
        <f>DEC2HEX(A30,2)</f>
        <v/>
      </c>
      <c r="C30" s="2">
        <f>IFERROR(INDEX(ROM_Principale!$S$2:$S$64,MATCH(A30,ROM_Principale!$B$2:$B$64,0)),"0000")</f>
        <v/>
      </c>
    </row>
    <row r="31">
      <c r="A31" s="2" t="n">
        <v>29</v>
      </c>
      <c r="B31" s="2">
        <f>DEC2HEX(A31,2)</f>
        <v/>
      </c>
      <c r="C31" s="2">
        <f>IFERROR(INDEX(ROM_Principale!$S$2:$S$64,MATCH(A31,ROM_Principale!$B$2:$B$64,0)),"0000")</f>
        <v/>
      </c>
    </row>
    <row r="32">
      <c r="A32" s="2" t="n">
        <v>30</v>
      </c>
      <c r="B32" s="2">
        <f>DEC2HEX(A32,2)</f>
        <v/>
      </c>
      <c r="C32" s="2">
        <f>IFERROR(INDEX(ROM_Principale!$S$2:$S$64,MATCH(A32,ROM_Principale!$B$2:$B$64,0)),"0000")</f>
        <v/>
      </c>
    </row>
    <row r="33">
      <c r="A33" s="2" t="n">
        <v>31</v>
      </c>
      <c r="B33" s="2">
        <f>DEC2HEX(A33,2)</f>
        <v/>
      </c>
      <c r="C33" s="2">
        <f>IFERROR(INDEX(ROM_Principale!$S$2:$S$64,MATCH(A33,ROM_Principale!$B$2:$B$64,0)),"0000")</f>
        <v/>
      </c>
    </row>
    <row r="34">
      <c r="A34" s="2" t="n">
        <v>32</v>
      </c>
      <c r="B34" s="2">
        <f>DEC2HEX(A34,2)</f>
        <v/>
      </c>
      <c r="C34" s="2">
        <f>IFERROR(INDEX(ROM_Principale!$S$2:$S$64,MATCH(A34,ROM_Principale!$B$2:$B$64,0)),"0000")</f>
        <v/>
      </c>
    </row>
    <row r="35">
      <c r="A35" s="2" t="n">
        <v>33</v>
      </c>
      <c r="B35" s="2">
        <f>DEC2HEX(A35,2)</f>
        <v/>
      </c>
      <c r="C35" s="2">
        <f>IFERROR(INDEX(ROM_Principale!$S$2:$S$64,MATCH(A35,ROM_Principale!$B$2:$B$64,0)),"0000")</f>
        <v/>
      </c>
    </row>
    <row r="36">
      <c r="A36" s="2" t="n">
        <v>34</v>
      </c>
      <c r="B36" s="2">
        <f>DEC2HEX(A36,2)</f>
        <v/>
      </c>
      <c r="C36" s="2">
        <f>IFERROR(INDEX(ROM_Principale!$S$2:$S$64,MATCH(A36,ROM_Principale!$B$2:$B$64,0)),"0000")</f>
        <v/>
      </c>
    </row>
    <row r="37">
      <c r="A37" s="2" t="n">
        <v>35</v>
      </c>
      <c r="B37" s="2">
        <f>DEC2HEX(A37,2)</f>
        <v/>
      </c>
      <c r="C37" s="2">
        <f>IFERROR(INDEX(ROM_Principale!$S$2:$S$64,MATCH(A37,ROM_Principale!$B$2:$B$64,0)),"0000")</f>
        <v/>
      </c>
    </row>
    <row r="38">
      <c r="A38" s="2" t="n">
        <v>36</v>
      </c>
      <c r="B38" s="2">
        <f>DEC2HEX(A38,2)</f>
        <v/>
      </c>
      <c r="C38" s="2">
        <f>IFERROR(INDEX(ROM_Principale!$S$2:$S$64,MATCH(A38,ROM_Principale!$B$2:$B$64,0)),"0000")</f>
        <v/>
      </c>
    </row>
    <row r="39">
      <c r="A39" s="2" t="n">
        <v>37</v>
      </c>
      <c r="B39" s="2">
        <f>DEC2HEX(A39,2)</f>
        <v/>
      </c>
      <c r="C39" s="2">
        <f>IFERROR(INDEX(ROM_Principale!$S$2:$S$64,MATCH(A39,ROM_Principale!$B$2:$B$64,0)),"0000")</f>
        <v/>
      </c>
    </row>
    <row r="40">
      <c r="A40" s="2" t="n">
        <v>38</v>
      </c>
      <c r="B40" s="2">
        <f>DEC2HEX(A40,2)</f>
        <v/>
      </c>
      <c r="C40" s="2">
        <f>IFERROR(INDEX(ROM_Principale!$S$2:$S$64,MATCH(A40,ROM_Principale!$B$2:$B$64,0)),"0000")</f>
        <v/>
      </c>
    </row>
    <row r="41">
      <c r="A41" s="2" t="n">
        <v>39</v>
      </c>
      <c r="B41" s="2">
        <f>DEC2HEX(A41,2)</f>
        <v/>
      </c>
      <c r="C41" s="2">
        <f>IFERROR(INDEX(ROM_Principale!$S$2:$S$64,MATCH(A41,ROM_Principale!$B$2:$B$64,0)),"0000")</f>
        <v/>
      </c>
    </row>
    <row r="42">
      <c r="A42" s="2" t="n">
        <v>40</v>
      </c>
      <c r="B42" s="2">
        <f>DEC2HEX(A42,2)</f>
        <v/>
      </c>
      <c r="C42" s="2">
        <f>IFERROR(INDEX(ROM_Principale!$S$2:$S$64,MATCH(A42,ROM_Principale!$B$2:$B$64,0)),"0000")</f>
        <v/>
      </c>
    </row>
    <row r="43">
      <c r="A43" s="2" t="n">
        <v>41</v>
      </c>
      <c r="B43" s="2">
        <f>DEC2HEX(A43,2)</f>
        <v/>
      </c>
      <c r="C43" s="2">
        <f>IFERROR(INDEX(ROM_Principale!$S$2:$S$64,MATCH(A43,ROM_Principale!$B$2:$B$64,0)),"0000")</f>
        <v/>
      </c>
    </row>
    <row r="44">
      <c r="A44" s="2" t="n">
        <v>42</v>
      </c>
      <c r="B44" s="2">
        <f>DEC2HEX(A44,2)</f>
        <v/>
      </c>
      <c r="C44" s="2">
        <f>IFERROR(INDEX(ROM_Principale!$S$2:$S$64,MATCH(A44,ROM_Principale!$B$2:$B$64,0)),"0000")</f>
        <v/>
      </c>
    </row>
    <row r="45">
      <c r="A45" s="2" t="n">
        <v>43</v>
      </c>
      <c r="B45" s="2">
        <f>DEC2HEX(A45,2)</f>
        <v/>
      </c>
      <c r="C45" s="2">
        <f>IFERROR(INDEX(ROM_Principale!$S$2:$S$64,MATCH(A45,ROM_Principale!$B$2:$B$64,0)),"0000")</f>
        <v/>
      </c>
    </row>
    <row r="46">
      <c r="A46" s="2" t="n">
        <v>44</v>
      </c>
      <c r="B46" s="2">
        <f>DEC2HEX(A46,2)</f>
        <v/>
      </c>
      <c r="C46" s="2">
        <f>IFERROR(INDEX(ROM_Principale!$S$2:$S$64,MATCH(A46,ROM_Principale!$B$2:$B$64,0)),"0000")</f>
        <v/>
      </c>
    </row>
    <row r="47">
      <c r="A47" s="2" t="n">
        <v>45</v>
      </c>
      <c r="B47" s="2">
        <f>DEC2HEX(A47,2)</f>
        <v/>
      </c>
      <c r="C47" s="2">
        <f>IFERROR(INDEX(ROM_Principale!$S$2:$S$64,MATCH(A47,ROM_Principale!$B$2:$B$64,0)),"0000")</f>
        <v/>
      </c>
    </row>
    <row r="48">
      <c r="A48" s="2" t="n">
        <v>46</v>
      </c>
      <c r="B48" s="2">
        <f>DEC2HEX(A48,2)</f>
        <v/>
      </c>
      <c r="C48" s="2">
        <f>IFERROR(INDEX(ROM_Principale!$S$2:$S$64,MATCH(A48,ROM_Principale!$B$2:$B$64,0)),"0000")</f>
        <v/>
      </c>
    </row>
    <row r="49">
      <c r="A49" s="2" t="n">
        <v>47</v>
      </c>
      <c r="B49" s="2">
        <f>DEC2HEX(A49,2)</f>
        <v/>
      </c>
      <c r="C49" s="2">
        <f>IFERROR(INDEX(ROM_Principale!$S$2:$S$64,MATCH(A49,ROM_Principale!$B$2:$B$64,0)),"0000")</f>
        <v/>
      </c>
    </row>
    <row r="50">
      <c r="A50" s="2" t="n">
        <v>48</v>
      </c>
      <c r="B50" s="2">
        <f>DEC2HEX(A50,2)</f>
        <v/>
      </c>
      <c r="C50" s="2">
        <f>IFERROR(INDEX(ROM_Principale!$S$2:$S$64,MATCH(A50,ROM_Principale!$B$2:$B$64,0)),"0000")</f>
        <v/>
      </c>
    </row>
    <row r="51">
      <c r="A51" s="2" t="n">
        <v>49</v>
      </c>
      <c r="B51" s="2">
        <f>DEC2HEX(A51,2)</f>
        <v/>
      </c>
      <c r="C51" s="2">
        <f>IFERROR(INDEX(ROM_Principale!$S$2:$S$64,MATCH(A51,ROM_Principale!$B$2:$B$64,0)),"0000")</f>
        <v/>
      </c>
    </row>
    <row r="52">
      <c r="A52" s="2" t="n">
        <v>50</v>
      </c>
      <c r="B52" s="2">
        <f>DEC2HEX(A52,2)</f>
        <v/>
      </c>
      <c r="C52" s="2">
        <f>IFERROR(INDEX(ROM_Principale!$S$2:$S$64,MATCH(A52,ROM_Principale!$B$2:$B$64,0)),"0000")</f>
        <v/>
      </c>
    </row>
    <row r="53">
      <c r="A53" s="2" t="n">
        <v>51</v>
      </c>
      <c r="B53" s="2">
        <f>DEC2HEX(A53,2)</f>
        <v/>
      </c>
      <c r="C53" s="2">
        <f>IFERROR(INDEX(ROM_Principale!$S$2:$S$64,MATCH(A53,ROM_Principale!$B$2:$B$64,0)),"0000")</f>
        <v/>
      </c>
    </row>
    <row r="54">
      <c r="A54" s="2" t="n">
        <v>52</v>
      </c>
      <c r="B54" s="2">
        <f>DEC2HEX(A54,2)</f>
        <v/>
      </c>
      <c r="C54" s="2">
        <f>IFERROR(INDEX(ROM_Principale!$S$2:$S$64,MATCH(A54,ROM_Principale!$B$2:$B$64,0)),"0000")</f>
        <v/>
      </c>
    </row>
    <row r="55">
      <c r="A55" s="2" t="n">
        <v>53</v>
      </c>
      <c r="B55" s="2">
        <f>DEC2HEX(A55,2)</f>
        <v/>
      </c>
      <c r="C55" s="2">
        <f>IFERROR(INDEX(ROM_Principale!$S$2:$S$64,MATCH(A55,ROM_Principale!$B$2:$B$64,0)),"0000")</f>
        <v/>
      </c>
    </row>
    <row r="56">
      <c r="A56" s="2" t="n">
        <v>54</v>
      </c>
      <c r="B56" s="2">
        <f>DEC2HEX(A56,2)</f>
        <v/>
      </c>
      <c r="C56" s="2">
        <f>IFERROR(INDEX(ROM_Principale!$S$2:$S$64,MATCH(A56,ROM_Principale!$B$2:$B$64,0)),"0000")</f>
        <v/>
      </c>
    </row>
    <row r="57">
      <c r="A57" s="2" t="n">
        <v>55</v>
      </c>
      <c r="B57" s="2">
        <f>DEC2HEX(A57,2)</f>
        <v/>
      </c>
      <c r="C57" s="2">
        <f>IFERROR(INDEX(ROM_Principale!$S$2:$S$64,MATCH(A57,ROM_Principale!$B$2:$B$64,0)),"0000")</f>
        <v/>
      </c>
    </row>
    <row r="58">
      <c r="A58" s="2" t="n">
        <v>56</v>
      </c>
      <c r="B58" s="2">
        <f>DEC2HEX(A58,2)</f>
        <v/>
      </c>
      <c r="C58" s="2">
        <f>IFERROR(INDEX(ROM_Principale!$S$2:$S$64,MATCH(A58,ROM_Principale!$B$2:$B$64,0)),"0000")</f>
        <v/>
      </c>
    </row>
    <row r="59">
      <c r="A59" s="2" t="n">
        <v>57</v>
      </c>
      <c r="B59" s="2">
        <f>DEC2HEX(A59,2)</f>
        <v/>
      </c>
      <c r="C59" s="2">
        <f>IFERROR(INDEX(ROM_Principale!$S$2:$S$64,MATCH(A59,ROM_Principale!$B$2:$B$64,0)),"0000")</f>
        <v/>
      </c>
    </row>
    <row r="60">
      <c r="A60" s="2" t="n">
        <v>58</v>
      </c>
      <c r="B60" s="2">
        <f>DEC2HEX(A60,2)</f>
        <v/>
      </c>
      <c r="C60" s="2">
        <f>IFERROR(INDEX(ROM_Principale!$S$2:$S$64,MATCH(A60,ROM_Principale!$B$2:$B$64,0)),"0000")</f>
        <v/>
      </c>
    </row>
    <row r="61">
      <c r="A61" s="2" t="n">
        <v>59</v>
      </c>
      <c r="B61" s="2">
        <f>DEC2HEX(A61,2)</f>
        <v/>
      </c>
      <c r="C61" s="2">
        <f>IFERROR(INDEX(ROM_Principale!$S$2:$S$64,MATCH(A61,ROM_Principale!$B$2:$B$64,0)),"0000")</f>
        <v/>
      </c>
    </row>
    <row r="62">
      <c r="A62" s="2" t="n">
        <v>60</v>
      </c>
      <c r="B62" s="2">
        <f>DEC2HEX(A62,2)</f>
        <v/>
      </c>
      <c r="C62" s="2">
        <f>IFERROR(INDEX(ROM_Principale!$S$2:$S$64,MATCH(A62,ROM_Principale!$B$2:$B$64,0)),"0000")</f>
        <v/>
      </c>
    </row>
    <row r="63">
      <c r="A63" s="2" t="n">
        <v>61</v>
      </c>
      <c r="B63" s="2">
        <f>DEC2HEX(A63,2)</f>
        <v/>
      </c>
      <c r="C63" s="2">
        <f>IFERROR(INDEX(ROM_Principale!$S$2:$S$64,MATCH(A63,ROM_Principale!$B$2:$B$64,0)),"0000")</f>
        <v/>
      </c>
    </row>
    <row r="64">
      <c r="A64" s="2" t="n">
        <v>62</v>
      </c>
      <c r="B64" s="2">
        <f>DEC2HEX(A64,2)</f>
        <v/>
      </c>
      <c r="C64" s="2">
        <f>IFERROR(INDEX(ROM_Principale!$S$2:$S$64,MATCH(A64,ROM_Principale!$B$2:$B$64,0)),"0000")</f>
        <v/>
      </c>
    </row>
    <row r="65">
      <c r="A65" s="2" t="n">
        <v>63</v>
      </c>
      <c r="B65" s="2">
        <f>DEC2HEX(A65,2)</f>
        <v/>
      </c>
      <c r="C65" s="2">
        <f>IFERROR(INDEX(ROM_Principale!$S$2:$S$64,MATCH(A65,ROM_Principale!$B$2:$B$64,0)),"0000")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Adresse DEC</t>
        </is>
      </c>
      <c r="B1" s="1" t="inlineStr">
        <is>
          <t>Adresse HEX</t>
        </is>
      </c>
      <c r="C1" s="1" t="inlineStr">
        <is>
          <t>ALUOp DEC</t>
        </is>
      </c>
      <c r="D1" s="1" t="inlineStr">
        <is>
          <t>Funct DEC</t>
        </is>
      </c>
      <c r="E1" s="1" t="inlineStr">
        <is>
          <t>Valeur HEX</t>
        </is>
      </c>
    </row>
    <row r="2">
      <c r="A2" s="2" t="n">
        <v>0</v>
      </c>
      <c r="B2" s="2">
        <f>DEC2HEX(A2,2)</f>
        <v/>
      </c>
      <c r="C2" s="2">
        <f>INT(A2/64)</f>
        <v/>
      </c>
      <c r="D2" s="2">
        <f>MOD(A2,64)</f>
        <v/>
      </c>
      <c r="E2" s="2">
        <f>IF(AND(D2=8,OR(C2=1,C2=2)),IFERROR(INDEX(ROM_ALUControl!$J$2:$J$20,MATCH(D2,ROM_ALUControl!$B$2:$B$20,0)),"00"),IF(C2=0,"08",IF(C2=1,"0a",IF(C2=3,"04",IFERROR(INDEX(ROM_ALUControl!$J$2:$J$20,MATCH(D2,ROM_ALUControl!$B$2:$B$20,0)),"00")))))</f>
        <v/>
      </c>
    </row>
    <row r="3">
      <c r="A3" s="2" t="n">
        <v>1</v>
      </c>
      <c r="B3" s="2">
        <f>DEC2HEX(A3,2)</f>
        <v/>
      </c>
      <c r="C3" s="2">
        <f>INT(A3/64)</f>
        <v/>
      </c>
      <c r="D3" s="2">
        <f>MOD(A3,64)</f>
        <v/>
      </c>
      <c r="E3" s="2">
        <f>IF(AND(D3=8,OR(C3=1,C3=2)),IFERROR(INDEX(ROM_ALUControl!$J$2:$J$20,MATCH(D3,ROM_ALUControl!$B$2:$B$20,0)),"00"),IF(C3=0,"08",IF(C3=1,"0a",IF(C3=3,"04",IFERROR(INDEX(ROM_ALUControl!$J$2:$J$20,MATCH(D3,ROM_ALUControl!$B$2:$B$20,0)),"00")))))</f>
        <v/>
      </c>
    </row>
    <row r="4">
      <c r="A4" s="2" t="n">
        <v>2</v>
      </c>
      <c r="B4" s="2">
        <f>DEC2HEX(A4,2)</f>
        <v/>
      </c>
      <c r="C4" s="2">
        <f>INT(A4/64)</f>
        <v/>
      </c>
      <c r="D4" s="2">
        <f>MOD(A4,64)</f>
        <v/>
      </c>
      <c r="E4" s="2">
        <f>IF(AND(D4=8,OR(C4=1,C4=2)),IFERROR(INDEX(ROM_ALUControl!$J$2:$J$20,MATCH(D4,ROM_ALUControl!$B$2:$B$20,0)),"00"),IF(C4=0,"08",IF(C4=1,"0a",IF(C4=3,"04",IFERROR(INDEX(ROM_ALUControl!$J$2:$J$20,MATCH(D4,ROM_ALUControl!$B$2:$B$20,0)),"00")))))</f>
        <v/>
      </c>
    </row>
    <row r="5">
      <c r="A5" s="2" t="n">
        <v>3</v>
      </c>
      <c r="B5" s="2">
        <f>DEC2HEX(A5,2)</f>
        <v/>
      </c>
      <c r="C5" s="2">
        <f>INT(A5/64)</f>
        <v/>
      </c>
      <c r="D5" s="2">
        <f>MOD(A5,64)</f>
        <v/>
      </c>
      <c r="E5" s="2">
        <f>IF(AND(D5=8,OR(C5=1,C5=2)),IFERROR(INDEX(ROM_ALUControl!$J$2:$J$20,MATCH(D5,ROM_ALUControl!$B$2:$B$20,0)),"00"),IF(C5=0,"08",IF(C5=1,"0a",IF(C5=3,"04",IFERROR(INDEX(ROM_ALUControl!$J$2:$J$20,MATCH(D5,ROM_ALUControl!$B$2:$B$20,0)),"00")))))</f>
        <v/>
      </c>
    </row>
    <row r="6">
      <c r="A6" s="2" t="n">
        <v>4</v>
      </c>
      <c r="B6" s="2">
        <f>DEC2HEX(A6,2)</f>
        <v/>
      </c>
      <c r="C6" s="2">
        <f>INT(A6/64)</f>
        <v/>
      </c>
      <c r="D6" s="2">
        <f>MOD(A6,64)</f>
        <v/>
      </c>
      <c r="E6" s="2">
        <f>IF(AND(D6=8,OR(C6=1,C6=2)),IFERROR(INDEX(ROM_ALUControl!$J$2:$J$20,MATCH(D6,ROM_ALUControl!$B$2:$B$20,0)),"00"),IF(C6=0,"08",IF(C6=1,"0a",IF(C6=3,"04",IFERROR(INDEX(ROM_ALUControl!$J$2:$J$20,MATCH(D6,ROM_ALUControl!$B$2:$B$20,0)),"00")))))</f>
        <v/>
      </c>
    </row>
    <row r="7">
      <c r="A7" s="2" t="n">
        <v>5</v>
      </c>
      <c r="B7" s="2">
        <f>DEC2HEX(A7,2)</f>
        <v/>
      </c>
      <c r="C7" s="2">
        <f>INT(A7/64)</f>
        <v/>
      </c>
      <c r="D7" s="2">
        <f>MOD(A7,64)</f>
        <v/>
      </c>
      <c r="E7" s="2">
        <f>IF(AND(D7=8,OR(C7=1,C7=2)),IFERROR(INDEX(ROM_ALUControl!$J$2:$J$20,MATCH(D7,ROM_ALUControl!$B$2:$B$20,0)),"00"),IF(C7=0,"08",IF(C7=1,"0a",IF(C7=3,"04",IFERROR(INDEX(ROM_ALUControl!$J$2:$J$20,MATCH(D7,ROM_ALUControl!$B$2:$B$20,0)),"00")))))</f>
        <v/>
      </c>
    </row>
    <row r="8">
      <c r="A8" s="2" t="n">
        <v>6</v>
      </c>
      <c r="B8" s="2">
        <f>DEC2HEX(A8,2)</f>
        <v/>
      </c>
      <c r="C8" s="2">
        <f>INT(A8/64)</f>
        <v/>
      </c>
      <c r="D8" s="2">
        <f>MOD(A8,64)</f>
        <v/>
      </c>
      <c r="E8" s="2">
        <f>IF(AND(D8=8,OR(C8=1,C8=2)),IFERROR(INDEX(ROM_ALUControl!$J$2:$J$20,MATCH(D8,ROM_ALUControl!$B$2:$B$20,0)),"00"),IF(C8=0,"08",IF(C8=1,"0a",IF(C8=3,"04",IFERROR(INDEX(ROM_ALUControl!$J$2:$J$20,MATCH(D8,ROM_ALUControl!$B$2:$B$20,0)),"00")))))</f>
        <v/>
      </c>
    </row>
    <row r="9">
      <c r="A9" s="2" t="n">
        <v>7</v>
      </c>
      <c r="B9" s="2">
        <f>DEC2HEX(A9,2)</f>
        <v/>
      </c>
      <c r="C9" s="2">
        <f>INT(A9/64)</f>
        <v/>
      </c>
      <c r="D9" s="2">
        <f>MOD(A9,64)</f>
        <v/>
      </c>
      <c r="E9" s="2">
        <f>IF(AND(D9=8,OR(C9=1,C9=2)),IFERROR(INDEX(ROM_ALUControl!$J$2:$J$20,MATCH(D9,ROM_ALUControl!$B$2:$B$20,0)),"00"),IF(C9=0,"08",IF(C9=1,"0a",IF(C9=3,"04",IFERROR(INDEX(ROM_ALUControl!$J$2:$J$20,MATCH(D9,ROM_ALUControl!$B$2:$B$20,0)),"00")))))</f>
        <v/>
      </c>
    </row>
    <row r="10">
      <c r="A10" s="2" t="n">
        <v>8</v>
      </c>
      <c r="B10" s="2">
        <f>DEC2HEX(A10,2)</f>
        <v/>
      </c>
      <c r="C10" s="2">
        <f>INT(A10/64)</f>
        <v/>
      </c>
      <c r="D10" s="2">
        <f>MOD(A10,64)</f>
        <v/>
      </c>
      <c r="E10" s="2">
        <f>IF(AND(D10=8,OR(C10=1,C10=2)),IFERROR(INDEX(ROM_ALUControl!$J$2:$J$20,MATCH(D10,ROM_ALUControl!$B$2:$B$20,0)),"00"),IF(C10=0,"08",IF(C10=1,"0a",IF(C10=3,"04",IFERROR(INDEX(ROM_ALUControl!$J$2:$J$20,MATCH(D10,ROM_ALUControl!$B$2:$B$20,0)),"00")))))</f>
        <v/>
      </c>
    </row>
    <row r="11">
      <c r="A11" s="2" t="n">
        <v>9</v>
      </c>
      <c r="B11" s="2">
        <f>DEC2HEX(A11,2)</f>
        <v/>
      </c>
      <c r="C11" s="2">
        <f>INT(A11/64)</f>
        <v/>
      </c>
      <c r="D11" s="2">
        <f>MOD(A11,64)</f>
        <v/>
      </c>
      <c r="E11" s="2">
        <f>IF(AND(D11=8,OR(C11=1,C11=2)),IFERROR(INDEX(ROM_ALUControl!$J$2:$J$20,MATCH(D11,ROM_ALUControl!$B$2:$B$20,0)),"00"),IF(C11=0,"08",IF(C11=1,"0a",IF(C11=3,"04",IFERROR(INDEX(ROM_ALUControl!$J$2:$J$20,MATCH(D11,ROM_ALUControl!$B$2:$B$20,0)),"00")))))</f>
        <v/>
      </c>
    </row>
    <row r="12">
      <c r="A12" s="2" t="n">
        <v>10</v>
      </c>
      <c r="B12" s="2">
        <f>DEC2HEX(A12,2)</f>
        <v/>
      </c>
      <c r="C12" s="2">
        <f>INT(A12/64)</f>
        <v/>
      </c>
      <c r="D12" s="2">
        <f>MOD(A12,64)</f>
        <v/>
      </c>
      <c r="E12" s="2">
        <f>IF(AND(D12=8,OR(C12=1,C12=2)),IFERROR(INDEX(ROM_ALUControl!$J$2:$J$20,MATCH(D12,ROM_ALUControl!$B$2:$B$20,0)),"00"),IF(C12=0,"08",IF(C12=1,"0a",IF(C12=3,"04",IFERROR(INDEX(ROM_ALUControl!$J$2:$J$20,MATCH(D12,ROM_ALUControl!$B$2:$B$20,0)),"00")))))</f>
        <v/>
      </c>
    </row>
    <row r="13">
      <c r="A13" s="2" t="n">
        <v>11</v>
      </c>
      <c r="B13" s="2">
        <f>DEC2HEX(A13,2)</f>
        <v/>
      </c>
      <c r="C13" s="2">
        <f>INT(A13/64)</f>
        <v/>
      </c>
      <c r="D13" s="2">
        <f>MOD(A13,64)</f>
        <v/>
      </c>
      <c r="E13" s="2">
        <f>IF(AND(D13=8,OR(C13=1,C13=2)),IFERROR(INDEX(ROM_ALUControl!$J$2:$J$20,MATCH(D13,ROM_ALUControl!$B$2:$B$20,0)),"00"),IF(C13=0,"08",IF(C13=1,"0a",IF(C13=3,"04",IFERROR(INDEX(ROM_ALUControl!$J$2:$J$20,MATCH(D13,ROM_ALUControl!$B$2:$B$20,0)),"00")))))</f>
        <v/>
      </c>
    </row>
    <row r="14">
      <c r="A14" s="2" t="n">
        <v>12</v>
      </c>
      <c r="B14" s="2">
        <f>DEC2HEX(A14,2)</f>
        <v/>
      </c>
      <c r="C14" s="2">
        <f>INT(A14/64)</f>
        <v/>
      </c>
      <c r="D14" s="2">
        <f>MOD(A14,64)</f>
        <v/>
      </c>
      <c r="E14" s="2">
        <f>IF(AND(D14=8,OR(C14=1,C14=2)),IFERROR(INDEX(ROM_ALUControl!$J$2:$J$20,MATCH(D14,ROM_ALUControl!$B$2:$B$20,0)),"00"),IF(C14=0,"08",IF(C14=1,"0a",IF(C14=3,"04",IFERROR(INDEX(ROM_ALUControl!$J$2:$J$20,MATCH(D14,ROM_ALUControl!$B$2:$B$20,0)),"00")))))</f>
        <v/>
      </c>
    </row>
    <row r="15">
      <c r="A15" s="2" t="n">
        <v>13</v>
      </c>
      <c r="B15" s="2">
        <f>DEC2HEX(A15,2)</f>
        <v/>
      </c>
      <c r="C15" s="2">
        <f>INT(A15/64)</f>
        <v/>
      </c>
      <c r="D15" s="2">
        <f>MOD(A15,64)</f>
        <v/>
      </c>
      <c r="E15" s="2">
        <f>IF(AND(D15=8,OR(C15=1,C15=2)),IFERROR(INDEX(ROM_ALUControl!$J$2:$J$20,MATCH(D15,ROM_ALUControl!$B$2:$B$20,0)),"00"),IF(C15=0,"08",IF(C15=1,"0a",IF(C15=3,"04",IFERROR(INDEX(ROM_ALUControl!$J$2:$J$20,MATCH(D15,ROM_ALUControl!$B$2:$B$20,0)),"00")))))</f>
        <v/>
      </c>
    </row>
    <row r="16">
      <c r="A16" s="2" t="n">
        <v>14</v>
      </c>
      <c r="B16" s="2">
        <f>DEC2HEX(A16,2)</f>
        <v/>
      </c>
      <c r="C16" s="2">
        <f>INT(A16/64)</f>
        <v/>
      </c>
      <c r="D16" s="2">
        <f>MOD(A16,64)</f>
        <v/>
      </c>
      <c r="E16" s="2">
        <f>IF(AND(D16=8,OR(C16=1,C16=2)),IFERROR(INDEX(ROM_ALUControl!$J$2:$J$20,MATCH(D16,ROM_ALUControl!$B$2:$B$20,0)),"00"),IF(C16=0,"08",IF(C16=1,"0a",IF(C16=3,"04",IFERROR(INDEX(ROM_ALUControl!$J$2:$J$20,MATCH(D16,ROM_ALUControl!$B$2:$B$20,0)),"00")))))</f>
        <v/>
      </c>
    </row>
    <row r="17">
      <c r="A17" s="2" t="n">
        <v>15</v>
      </c>
      <c r="B17" s="2">
        <f>DEC2HEX(A17,2)</f>
        <v/>
      </c>
      <c r="C17" s="2">
        <f>INT(A17/64)</f>
        <v/>
      </c>
      <c r="D17" s="2">
        <f>MOD(A17,64)</f>
        <v/>
      </c>
      <c r="E17" s="2">
        <f>IF(AND(D17=8,OR(C17=1,C17=2)),IFERROR(INDEX(ROM_ALUControl!$J$2:$J$20,MATCH(D17,ROM_ALUControl!$B$2:$B$20,0)),"00"),IF(C17=0,"08",IF(C17=1,"0a",IF(C17=3,"04",IFERROR(INDEX(ROM_ALUControl!$J$2:$J$20,MATCH(D17,ROM_ALUControl!$B$2:$B$20,0)),"00")))))</f>
        <v/>
      </c>
    </row>
    <row r="18">
      <c r="A18" s="2" t="n">
        <v>16</v>
      </c>
      <c r="B18" s="2">
        <f>DEC2HEX(A18,2)</f>
        <v/>
      </c>
      <c r="C18" s="2">
        <f>INT(A18/64)</f>
        <v/>
      </c>
      <c r="D18" s="2">
        <f>MOD(A18,64)</f>
        <v/>
      </c>
      <c r="E18" s="2">
        <f>IF(AND(D18=8,OR(C18=1,C18=2)),IFERROR(INDEX(ROM_ALUControl!$J$2:$J$20,MATCH(D18,ROM_ALUControl!$B$2:$B$20,0)),"00"),IF(C18=0,"08",IF(C18=1,"0a",IF(C18=3,"04",IFERROR(INDEX(ROM_ALUControl!$J$2:$J$20,MATCH(D18,ROM_ALUControl!$B$2:$B$20,0)),"00")))))</f>
        <v/>
      </c>
    </row>
    <row r="19">
      <c r="A19" s="2" t="n">
        <v>17</v>
      </c>
      <c r="B19" s="2">
        <f>DEC2HEX(A19,2)</f>
        <v/>
      </c>
      <c r="C19" s="2">
        <f>INT(A19/64)</f>
        <v/>
      </c>
      <c r="D19" s="2">
        <f>MOD(A19,64)</f>
        <v/>
      </c>
      <c r="E19" s="2">
        <f>IF(AND(D19=8,OR(C19=1,C19=2)),IFERROR(INDEX(ROM_ALUControl!$J$2:$J$20,MATCH(D19,ROM_ALUControl!$B$2:$B$20,0)),"00"),IF(C19=0,"08",IF(C19=1,"0a",IF(C19=3,"04",IFERROR(INDEX(ROM_ALUControl!$J$2:$J$20,MATCH(D19,ROM_ALUControl!$B$2:$B$20,0)),"00")))))</f>
        <v/>
      </c>
    </row>
    <row r="20">
      <c r="A20" s="2" t="n">
        <v>18</v>
      </c>
      <c r="B20" s="2">
        <f>DEC2HEX(A20,2)</f>
        <v/>
      </c>
      <c r="C20" s="2">
        <f>INT(A20/64)</f>
        <v/>
      </c>
      <c r="D20" s="2">
        <f>MOD(A20,64)</f>
        <v/>
      </c>
      <c r="E20" s="2">
        <f>IF(AND(D20=8,OR(C20=1,C20=2)),IFERROR(INDEX(ROM_ALUControl!$J$2:$J$20,MATCH(D20,ROM_ALUControl!$B$2:$B$20,0)),"00"),IF(C20=0,"08",IF(C20=1,"0a",IF(C20=3,"04",IFERROR(INDEX(ROM_ALUControl!$J$2:$J$20,MATCH(D20,ROM_ALUControl!$B$2:$B$20,0)),"00")))))</f>
        <v/>
      </c>
    </row>
    <row r="21">
      <c r="A21" s="2" t="n">
        <v>19</v>
      </c>
      <c r="B21" s="2">
        <f>DEC2HEX(A21,2)</f>
        <v/>
      </c>
      <c r="C21" s="2">
        <f>INT(A21/64)</f>
        <v/>
      </c>
      <c r="D21" s="2">
        <f>MOD(A21,64)</f>
        <v/>
      </c>
      <c r="E21" s="2">
        <f>IF(AND(D21=8,OR(C21=1,C21=2)),IFERROR(INDEX(ROM_ALUControl!$J$2:$J$20,MATCH(D21,ROM_ALUControl!$B$2:$B$20,0)),"00"),IF(C21=0,"08",IF(C21=1,"0a",IF(C21=3,"04",IFERROR(INDEX(ROM_ALUControl!$J$2:$J$20,MATCH(D21,ROM_ALUControl!$B$2:$B$20,0)),"00")))))</f>
        <v/>
      </c>
    </row>
    <row r="22">
      <c r="A22" s="2" t="n">
        <v>20</v>
      </c>
      <c r="B22" s="2">
        <f>DEC2HEX(A22,2)</f>
        <v/>
      </c>
      <c r="C22" s="2">
        <f>INT(A22/64)</f>
        <v/>
      </c>
      <c r="D22" s="2">
        <f>MOD(A22,64)</f>
        <v/>
      </c>
      <c r="E22" s="2">
        <f>IF(AND(D22=8,OR(C22=1,C22=2)),IFERROR(INDEX(ROM_ALUControl!$J$2:$J$20,MATCH(D22,ROM_ALUControl!$B$2:$B$20,0)),"00"),IF(C22=0,"08",IF(C22=1,"0a",IF(C22=3,"04",IFERROR(INDEX(ROM_ALUControl!$J$2:$J$20,MATCH(D22,ROM_ALUControl!$B$2:$B$20,0)),"00")))))</f>
        <v/>
      </c>
    </row>
    <row r="23">
      <c r="A23" s="2" t="n">
        <v>21</v>
      </c>
      <c r="B23" s="2">
        <f>DEC2HEX(A23,2)</f>
        <v/>
      </c>
      <c r="C23" s="2">
        <f>INT(A23/64)</f>
        <v/>
      </c>
      <c r="D23" s="2">
        <f>MOD(A23,64)</f>
        <v/>
      </c>
      <c r="E23" s="2">
        <f>IF(AND(D23=8,OR(C23=1,C23=2)),IFERROR(INDEX(ROM_ALUControl!$J$2:$J$20,MATCH(D23,ROM_ALUControl!$B$2:$B$20,0)),"00"),IF(C23=0,"08",IF(C23=1,"0a",IF(C23=3,"04",IFERROR(INDEX(ROM_ALUControl!$J$2:$J$20,MATCH(D23,ROM_ALUControl!$B$2:$B$20,0)),"00")))))</f>
        <v/>
      </c>
    </row>
    <row r="24">
      <c r="A24" s="2" t="n">
        <v>22</v>
      </c>
      <c r="B24" s="2">
        <f>DEC2HEX(A24,2)</f>
        <v/>
      </c>
      <c r="C24" s="2">
        <f>INT(A24/64)</f>
        <v/>
      </c>
      <c r="D24" s="2">
        <f>MOD(A24,64)</f>
        <v/>
      </c>
      <c r="E24" s="2">
        <f>IF(AND(D24=8,OR(C24=1,C24=2)),IFERROR(INDEX(ROM_ALUControl!$J$2:$J$20,MATCH(D24,ROM_ALUControl!$B$2:$B$20,0)),"00"),IF(C24=0,"08",IF(C24=1,"0a",IF(C24=3,"04",IFERROR(INDEX(ROM_ALUControl!$J$2:$J$20,MATCH(D24,ROM_ALUControl!$B$2:$B$20,0)),"00")))))</f>
        <v/>
      </c>
    </row>
    <row r="25">
      <c r="A25" s="2" t="n">
        <v>23</v>
      </c>
      <c r="B25" s="2">
        <f>DEC2HEX(A25,2)</f>
        <v/>
      </c>
      <c r="C25" s="2">
        <f>INT(A25/64)</f>
        <v/>
      </c>
      <c r="D25" s="2">
        <f>MOD(A25,64)</f>
        <v/>
      </c>
      <c r="E25" s="2">
        <f>IF(AND(D25=8,OR(C25=1,C25=2)),IFERROR(INDEX(ROM_ALUControl!$J$2:$J$20,MATCH(D25,ROM_ALUControl!$B$2:$B$20,0)),"00"),IF(C25=0,"08",IF(C25=1,"0a",IF(C25=3,"04",IFERROR(INDEX(ROM_ALUControl!$J$2:$J$20,MATCH(D25,ROM_ALUControl!$B$2:$B$20,0)),"00")))))</f>
        <v/>
      </c>
    </row>
    <row r="26">
      <c r="A26" s="2" t="n">
        <v>24</v>
      </c>
      <c r="B26" s="2">
        <f>DEC2HEX(A26,2)</f>
        <v/>
      </c>
      <c r="C26" s="2">
        <f>INT(A26/64)</f>
        <v/>
      </c>
      <c r="D26" s="2">
        <f>MOD(A26,64)</f>
        <v/>
      </c>
      <c r="E26" s="2">
        <f>IF(AND(D26=8,OR(C26=1,C26=2)),IFERROR(INDEX(ROM_ALUControl!$J$2:$J$20,MATCH(D26,ROM_ALUControl!$B$2:$B$20,0)),"00"),IF(C26=0,"08",IF(C26=1,"0a",IF(C26=3,"04",IFERROR(INDEX(ROM_ALUControl!$J$2:$J$20,MATCH(D26,ROM_ALUControl!$B$2:$B$20,0)),"00")))))</f>
        <v/>
      </c>
    </row>
    <row r="27">
      <c r="A27" s="2" t="n">
        <v>25</v>
      </c>
      <c r="B27" s="2">
        <f>DEC2HEX(A27,2)</f>
        <v/>
      </c>
      <c r="C27" s="2">
        <f>INT(A27/64)</f>
        <v/>
      </c>
      <c r="D27" s="2">
        <f>MOD(A27,64)</f>
        <v/>
      </c>
      <c r="E27" s="2">
        <f>IF(AND(D27=8,OR(C27=1,C27=2)),IFERROR(INDEX(ROM_ALUControl!$J$2:$J$20,MATCH(D27,ROM_ALUControl!$B$2:$B$20,0)),"00"),IF(C27=0,"08",IF(C27=1,"0a",IF(C27=3,"04",IFERROR(INDEX(ROM_ALUControl!$J$2:$J$20,MATCH(D27,ROM_ALUControl!$B$2:$B$20,0)),"00")))))</f>
        <v/>
      </c>
    </row>
    <row r="28">
      <c r="A28" s="2" t="n">
        <v>26</v>
      </c>
      <c r="B28" s="2">
        <f>DEC2HEX(A28,2)</f>
        <v/>
      </c>
      <c r="C28" s="2">
        <f>INT(A28/64)</f>
        <v/>
      </c>
      <c r="D28" s="2">
        <f>MOD(A28,64)</f>
        <v/>
      </c>
      <c r="E28" s="2">
        <f>IF(AND(D28=8,OR(C28=1,C28=2)),IFERROR(INDEX(ROM_ALUControl!$J$2:$J$20,MATCH(D28,ROM_ALUControl!$B$2:$B$20,0)),"00"),IF(C28=0,"08",IF(C28=1,"0a",IF(C28=3,"04",IFERROR(INDEX(ROM_ALUControl!$J$2:$J$20,MATCH(D28,ROM_ALUControl!$B$2:$B$20,0)),"00")))))</f>
        <v/>
      </c>
    </row>
    <row r="29">
      <c r="A29" s="2" t="n">
        <v>27</v>
      </c>
      <c r="B29" s="2">
        <f>DEC2HEX(A29,2)</f>
        <v/>
      </c>
      <c r="C29" s="2">
        <f>INT(A29/64)</f>
        <v/>
      </c>
      <c r="D29" s="2">
        <f>MOD(A29,64)</f>
        <v/>
      </c>
      <c r="E29" s="2">
        <f>IF(AND(D29=8,OR(C29=1,C29=2)),IFERROR(INDEX(ROM_ALUControl!$J$2:$J$20,MATCH(D29,ROM_ALUControl!$B$2:$B$20,0)),"00"),IF(C29=0,"08",IF(C29=1,"0a",IF(C29=3,"04",IFERROR(INDEX(ROM_ALUControl!$J$2:$J$20,MATCH(D29,ROM_ALUControl!$B$2:$B$20,0)),"00")))))</f>
        <v/>
      </c>
    </row>
    <row r="30">
      <c r="A30" s="2" t="n">
        <v>28</v>
      </c>
      <c r="B30" s="2">
        <f>DEC2HEX(A30,2)</f>
        <v/>
      </c>
      <c r="C30" s="2">
        <f>INT(A30/64)</f>
        <v/>
      </c>
      <c r="D30" s="2">
        <f>MOD(A30,64)</f>
        <v/>
      </c>
      <c r="E30" s="2">
        <f>IF(AND(D30=8,OR(C30=1,C30=2)),IFERROR(INDEX(ROM_ALUControl!$J$2:$J$20,MATCH(D30,ROM_ALUControl!$B$2:$B$20,0)),"00"),IF(C30=0,"08",IF(C30=1,"0a",IF(C30=3,"04",IFERROR(INDEX(ROM_ALUControl!$J$2:$J$20,MATCH(D30,ROM_ALUControl!$B$2:$B$20,0)),"00")))))</f>
        <v/>
      </c>
    </row>
    <row r="31">
      <c r="A31" s="2" t="n">
        <v>29</v>
      </c>
      <c r="B31" s="2">
        <f>DEC2HEX(A31,2)</f>
        <v/>
      </c>
      <c r="C31" s="2">
        <f>INT(A31/64)</f>
        <v/>
      </c>
      <c r="D31" s="2">
        <f>MOD(A31,64)</f>
        <v/>
      </c>
      <c r="E31" s="2">
        <f>IF(AND(D31=8,OR(C31=1,C31=2)),IFERROR(INDEX(ROM_ALUControl!$J$2:$J$20,MATCH(D31,ROM_ALUControl!$B$2:$B$20,0)),"00"),IF(C31=0,"08",IF(C31=1,"0a",IF(C31=3,"04",IFERROR(INDEX(ROM_ALUControl!$J$2:$J$20,MATCH(D31,ROM_ALUControl!$B$2:$B$20,0)),"00")))))</f>
        <v/>
      </c>
    </row>
    <row r="32">
      <c r="A32" s="2" t="n">
        <v>30</v>
      </c>
      <c r="B32" s="2">
        <f>DEC2HEX(A32,2)</f>
        <v/>
      </c>
      <c r="C32" s="2">
        <f>INT(A32/64)</f>
        <v/>
      </c>
      <c r="D32" s="2">
        <f>MOD(A32,64)</f>
        <v/>
      </c>
      <c r="E32" s="2">
        <f>IF(AND(D32=8,OR(C32=1,C32=2)),IFERROR(INDEX(ROM_ALUControl!$J$2:$J$20,MATCH(D32,ROM_ALUControl!$B$2:$B$20,0)),"00"),IF(C32=0,"08",IF(C32=1,"0a",IF(C32=3,"04",IFERROR(INDEX(ROM_ALUControl!$J$2:$J$20,MATCH(D32,ROM_ALUControl!$B$2:$B$20,0)),"00")))))</f>
        <v/>
      </c>
    </row>
    <row r="33">
      <c r="A33" s="2" t="n">
        <v>31</v>
      </c>
      <c r="B33" s="2">
        <f>DEC2HEX(A33,2)</f>
        <v/>
      </c>
      <c r="C33" s="2">
        <f>INT(A33/64)</f>
        <v/>
      </c>
      <c r="D33" s="2">
        <f>MOD(A33,64)</f>
        <v/>
      </c>
      <c r="E33" s="2">
        <f>IF(AND(D33=8,OR(C33=1,C33=2)),IFERROR(INDEX(ROM_ALUControl!$J$2:$J$20,MATCH(D33,ROM_ALUControl!$B$2:$B$20,0)),"00"),IF(C33=0,"08",IF(C33=1,"0a",IF(C33=3,"04",IFERROR(INDEX(ROM_ALUControl!$J$2:$J$20,MATCH(D33,ROM_ALUControl!$B$2:$B$20,0)),"00")))))</f>
        <v/>
      </c>
    </row>
    <row r="34">
      <c r="A34" s="2" t="n">
        <v>32</v>
      </c>
      <c r="B34" s="2">
        <f>DEC2HEX(A34,2)</f>
        <v/>
      </c>
      <c r="C34" s="2">
        <f>INT(A34/64)</f>
        <v/>
      </c>
      <c r="D34" s="2">
        <f>MOD(A34,64)</f>
        <v/>
      </c>
      <c r="E34" s="2">
        <f>IF(AND(D34=8,OR(C34=1,C34=2)),IFERROR(INDEX(ROM_ALUControl!$J$2:$J$20,MATCH(D34,ROM_ALUControl!$B$2:$B$20,0)),"00"),IF(C34=0,"08",IF(C34=1,"0a",IF(C34=3,"04",IFERROR(INDEX(ROM_ALUControl!$J$2:$J$20,MATCH(D34,ROM_ALUControl!$B$2:$B$20,0)),"00")))))</f>
        <v/>
      </c>
    </row>
    <row r="35">
      <c r="A35" s="2" t="n">
        <v>33</v>
      </c>
      <c r="B35" s="2">
        <f>DEC2HEX(A35,2)</f>
        <v/>
      </c>
      <c r="C35" s="2">
        <f>INT(A35/64)</f>
        <v/>
      </c>
      <c r="D35" s="2">
        <f>MOD(A35,64)</f>
        <v/>
      </c>
      <c r="E35" s="2">
        <f>IF(AND(D35=8,OR(C35=1,C35=2)),IFERROR(INDEX(ROM_ALUControl!$J$2:$J$20,MATCH(D35,ROM_ALUControl!$B$2:$B$20,0)),"00"),IF(C35=0,"08",IF(C35=1,"0a",IF(C35=3,"04",IFERROR(INDEX(ROM_ALUControl!$J$2:$J$20,MATCH(D35,ROM_ALUControl!$B$2:$B$20,0)),"00")))))</f>
        <v/>
      </c>
    </row>
    <row r="36">
      <c r="A36" s="2" t="n">
        <v>34</v>
      </c>
      <c r="B36" s="2">
        <f>DEC2HEX(A36,2)</f>
        <v/>
      </c>
      <c r="C36" s="2">
        <f>INT(A36/64)</f>
        <v/>
      </c>
      <c r="D36" s="2">
        <f>MOD(A36,64)</f>
        <v/>
      </c>
      <c r="E36" s="2">
        <f>IF(AND(D36=8,OR(C36=1,C36=2)),IFERROR(INDEX(ROM_ALUControl!$J$2:$J$20,MATCH(D36,ROM_ALUControl!$B$2:$B$20,0)),"00"),IF(C36=0,"08",IF(C36=1,"0a",IF(C36=3,"04",IFERROR(INDEX(ROM_ALUControl!$J$2:$J$20,MATCH(D36,ROM_ALUControl!$B$2:$B$20,0)),"00")))))</f>
        <v/>
      </c>
    </row>
    <row r="37">
      <c r="A37" s="2" t="n">
        <v>35</v>
      </c>
      <c r="B37" s="2">
        <f>DEC2HEX(A37,2)</f>
        <v/>
      </c>
      <c r="C37" s="2">
        <f>INT(A37/64)</f>
        <v/>
      </c>
      <c r="D37" s="2">
        <f>MOD(A37,64)</f>
        <v/>
      </c>
      <c r="E37" s="2">
        <f>IF(AND(D37=8,OR(C37=1,C37=2)),IFERROR(INDEX(ROM_ALUControl!$J$2:$J$20,MATCH(D37,ROM_ALUControl!$B$2:$B$20,0)),"00"),IF(C37=0,"08",IF(C37=1,"0a",IF(C37=3,"04",IFERROR(INDEX(ROM_ALUControl!$J$2:$J$20,MATCH(D37,ROM_ALUControl!$B$2:$B$20,0)),"00")))))</f>
        <v/>
      </c>
    </row>
    <row r="38">
      <c r="A38" s="2" t="n">
        <v>36</v>
      </c>
      <c r="B38" s="2">
        <f>DEC2HEX(A38,2)</f>
        <v/>
      </c>
      <c r="C38" s="2">
        <f>INT(A38/64)</f>
        <v/>
      </c>
      <c r="D38" s="2">
        <f>MOD(A38,64)</f>
        <v/>
      </c>
      <c r="E38" s="2">
        <f>IF(AND(D38=8,OR(C38=1,C38=2)),IFERROR(INDEX(ROM_ALUControl!$J$2:$J$20,MATCH(D38,ROM_ALUControl!$B$2:$B$20,0)),"00"),IF(C38=0,"08",IF(C38=1,"0a",IF(C38=3,"04",IFERROR(INDEX(ROM_ALUControl!$J$2:$J$20,MATCH(D38,ROM_ALUControl!$B$2:$B$20,0)),"00")))))</f>
        <v/>
      </c>
    </row>
    <row r="39">
      <c r="A39" s="2" t="n">
        <v>37</v>
      </c>
      <c r="B39" s="2">
        <f>DEC2HEX(A39,2)</f>
        <v/>
      </c>
      <c r="C39" s="2">
        <f>INT(A39/64)</f>
        <v/>
      </c>
      <c r="D39" s="2">
        <f>MOD(A39,64)</f>
        <v/>
      </c>
      <c r="E39" s="2">
        <f>IF(AND(D39=8,OR(C39=1,C39=2)),IFERROR(INDEX(ROM_ALUControl!$J$2:$J$20,MATCH(D39,ROM_ALUControl!$B$2:$B$20,0)),"00"),IF(C39=0,"08",IF(C39=1,"0a",IF(C39=3,"04",IFERROR(INDEX(ROM_ALUControl!$J$2:$J$20,MATCH(D39,ROM_ALUControl!$B$2:$B$20,0)),"00")))))</f>
        <v/>
      </c>
    </row>
    <row r="40">
      <c r="A40" s="2" t="n">
        <v>38</v>
      </c>
      <c r="B40" s="2">
        <f>DEC2HEX(A40,2)</f>
        <v/>
      </c>
      <c r="C40" s="2">
        <f>INT(A40/64)</f>
        <v/>
      </c>
      <c r="D40" s="2">
        <f>MOD(A40,64)</f>
        <v/>
      </c>
      <c r="E40" s="2">
        <f>IF(AND(D40=8,OR(C40=1,C40=2)),IFERROR(INDEX(ROM_ALUControl!$J$2:$J$20,MATCH(D40,ROM_ALUControl!$B$2:$B$20,0)),"00"),IF(C40=0,"08",IF(C40=1,"0a",IF(C40=3,"04",IFERROR(INDEX(ROM_ALUControl!$J$2:$J$20,MATCH(D40,ROM_ALUControl!$B$2:$B$20,0)),"00")))))</f>
        <v/>
      </c>
    </row>
    <row r="41">
      <c r="A41" s="2" t="n">
        <v>39</v>
      </c>
      <c r="B41" s="2">
        <f>DEC2HEX(A41,2)</f>
        <v/>
      </c>
      <c r="C41" s="2">
        <f>INT(A41/64)</f>
        <v/>
      </c>
      <c r="D41" s="2">
        <f>MOD(A41,64)</f>
        <v/>
      </c>
      <c r="E41" s="2">
        <f>IF(AND(D41=8,OR(C41=1,C41=2)),IFERROR(INDEX(ROM_ALUControl!$J$2:$J$20,MATCH(D41,ROM_ALUControl!$B$2:$B$20,0)),"00"),IF(C41=0,"08",IF(C41=1,"0a",IF(C41=3,"04",IFERROR(INDEX(ROM_ALUControl!$J$2:$J$20,MATCH(D41,ROM_ALUControl!$B$2:$B$20,0)),"00")))))</f>
        <v/>
      </c>
    </row>
    <row r="42">
      <c r="A42" s="2" t="n">
        <v>40</v>
      </c>
      <c r="B42" s="2">
        <f>DEC2HEX(A42,2)</f>
        <v/>
      </c>
      <c r="C42" s="2">
        <f>INT(A42/64)</f>
        <v/>
      </c>
      <c r="D42" s="2">
        <f>MOD(A42,64)</f>
        <v/>
      </c>
      <c r="E42" s="2">
        <f>IF(AND(D42=8,OR(C42=1,C42=2)),IFERROR(INDEX(ROM_ALUControl!$J$2:$J$20,MATCH(D42,ROM_ALUControl!$B$2:$B$20,0)),"00"),IF(C42=0,"08",IF(C42=1,"0a",IF(C42=3,"04",IFERROR(INDEX(ROM_ALUControl!$J$2:$J$20,MATCH(D42,ROM_ALUControl!$B$2:$B$20,0)),"00")))))</f>
        <v/>
      </c>
    </row>
    <row r="43">
      <c r="A43" s="2" t="n">
        <v>41</v>
      </c>
      <c r="B43" s="2">
        <f>DEC2HEX(A43,2)</f>
        <v/>
      </c>
      <c r="C43" s="2">
        <f>INT(A43/64)</f>
        <v/>
      </c>
      <c r="D43" s="2">
        <f>MOD(A43,64)</f>
        <v/>
      </c>
      <c r="E43" s="2">
        <f>IF(AND(D43=8,OR(C43=1,C43=2)),IFERROR(INDEX(ROM_ALUControl!$J$2:$J$20,MATCH(D43,ROM_ALUControl!$B$2:$B$20,0)),"00"),IF(C43=0,"08",IF(C43=1,"0a",IF(C43=3,"04",IFERROR(INDEX(ROM_ALUControl!$J$2:$J$20,MATCH(D43,ROM_ALUControl!$B$2:$B$20,0)),"00")))))</f>
        <v/>
      </c>
    </row>
    <row r="44">
      <c r="A44" s="2" t="n">
        <v>42</v>
      </c>
      <c r="B44" s="2">
        <f>DEC2HEX(A44,2)</f>
        <v/>
      </c>
      <c r="C44" s="2">
        <f>INT(A44/64)</f>
        <v/>
      </c>
      <c r="D44" s="2">
        <f>MOD(A44,64)</f>
        <v/>
      </c>
      <c r="E44" s="2">
        <f>IF(AND(D44=8,OR(C44=1,C44=2)),IFERROR(INDEX(ROM_ALUControl!$J$2:$J$20,MATCH(D44,ROM_ALUControl!$B$2:$B$20,0)),"00"),IF(C44=0,"08",IF(C44=1,"0a",IF(C44=3,"04",IFERROR(INDEX(ROM_ALUControl!$J$2:$J$20,MATCH(D44,ROM_ALUControl!$B$2:$B$20,0)),"00")))))</f>
        <v/>
      </c>
    </row>
    <row r="45">
      <c r="A45" s="2" t="n">
        <v>43</v>
      </c>
      <c r="B45" s="2">
        <f>DEC2HEX(A45,2)</f>
        <v/>
      </c>
      <c r="C45" s="2">
        <f>INT(A45/64)</f>
        <v/>
      </c>
      <c r="D45" s="2">
        <f>MOD(A45,64)</f>
        <v/>
      </c>
      <c r="E45" s="2">
        <f>IF(AND(D45=8,OR(C45=1,C45=2)),IFERROR(INDEX(ROM_ALUControl!$J$2:$J$20,MATCH(D45,ROM_ALUControl!$B$2:$B$20,0)),"00"),IF(C45=0,"08",IF(C45=1,"0a",IF(C45=3,"04",IFERROR(INDEX(ROM_ALUControl!$J$2:$J$20,MATCH(D45,ROM_ALUControl!$B$2:$B$20,0)),"00")))))</f>
        <v/>
      </c>
    </row>
    <row r="46">
      <c r="A46" s="2" t="n">
        <v>44</v>
      </c>
      <c r="B46" s="2">
        <f>DEC2HEX(A46,2)</f>
        <v/>
      </c>
      <c r="C46" s="2">
        <f>INT(A46/64)</f>
        <v/>
      </c>
      <c r="D46" s="2">
        <f>MOD(A46,64)</f>
        <v/>
      </c>
      <c r="E46" s="2">
        <f>IF(AND(D46=8,OR(C46=1,C46=2)),IFERROR(INDEX(ROM_ALUControl!$J$2:$J$20,MATCH(D46,ROM_ALUControl!$B$2:$B$20,0)),"00"),IF(C46=0,"08",IF(C46=1,"0a",IF(C46=3,"04",IFERROR(INDEX(ROM_ALUControl!$J$2:$J$20,MATCH(D46,ROM_ALUControl!$B$2:$B$20,0)),"00")))))</f>
        <v/>
      </c>
    </row>
    <row r="47">
      <c r="A47" s="2" t="n">
        <v>45</v>
      </c>
      <c r="B47" s="2">
        <f>DEC2HEX(A47,2)</f>
        <v/>
      </c>
      <c r="C47" s="2">
        <f>INT(A47/64)</f>
        <v/>
      </c>
      <c r="D47" s="2">
        <f>MOD(A47,64)</f>
        <v/>
      </c>
      <c r="E47" s="2">
        <f>IF(AND(D47=8,OR(C47=1,C47=2)),IFERROR(INDEX(ROM_ALUControl!$J$2:$J$20,MATCH(D47,ROM_ALUControl!$B$2:$B$20,0)),"00"),IF(C47=0,"08",IF(C47=1,"0a",IF(C47=3,"04",IFERROR(INDEX(ROM_ALUControl!$J$2:$J$20,MATCH(D47,ROM_ALUControl!$B$2:$B$20,0)),"00")))))</f>
        <v/>
      </c>
    </row>
    <row r="48">
      <c r="A48" s="2" t="n">
        <v>46</v>
      </c>
      <c r="B48" s="2">
        <f>DEC2HEX(A48,2)</f>
        <v/>
      </c>
      <c r="C48" s="2">
        <f>INT(A48/64)</f>
        <v/>
      </c>
      <c r="D48" s="2">
        <f>MOD(A48,64)</f>
        <v/>
      </c>
      <c r="E48" s="2">
        <f>IF(AND(D48=8,OR(C48=1,C48=2)),IFERROR(INDEX(ROM_ALUControl!$J$2:$J$20,MATCH(D48,ROM_ALUControl!$B$2:$B$20,0)),"00"),IF(C48=0,"08",IF(C48=1,"0a",IF(C48=3,"04",IFERROR(INDEX(ROM_ALUControl!$J$2:$J$20,MATCH(D48,ROM_ALUControl!$B$2:$B$20,0)),"00")))))</f>
        <v/>
      </c>
    </row>
    <row r="49">
      <c r="A49" s="2" t="n">
        <v>47</v>
      </c>
      <c r="B49" s="2">
        <f>DEC2HEX(A49,2)</f>
        <v/>
      </c>
      <c r="C49" s="2">
        <f>INT(A49/64)</f>
        <v/>
      </c>
      <c r="D49" s="2">
        <f>MOD(A49,64)</f>
        <v/>
      </c>
      <c r="E49" s="2">
        <f>IF(AND(D49=8,OR(C49=1,C49=2)),IFERROR(INDEX(ROM_ALUControl!$J$2:$J$20,MATCH(D49,ROM_ALUControl!$B$2:$B$20,0)),"00"),IF(C49=0,"08",IF(C49=1,"0a",IF(C49=3,"04",IFERROR(INDEX(ROM_ALUControl!$J$2:$J$20,MATCH(D49,ROM_ALUControl!$B$2:$B$20,0)),"00")))))</f>
        <v/>
      </c>
    </row>
    <row r="50">
      <c r="A50" s="2" t="n">
        <v>48</v>
      </c>
      <c r="B50" s="2">
        <f>DEC2HEX(A50,2)</f>
        <v/>
      </c>
      <c r="C50" s="2">
        <f>INT(A50/64)</f>
        <v/>
      </c>
      <c r="D50" s="2">
        <f>MOD(A50,64)</f>
        <v/>
      </c>
      <c r="E50" s="2">
        <f>IF(AND(D50=8,OR(C50=1,C50=2)),IFERROR(INDEX(ROM_ALUControl!$J$2:$J$20,MATCH(D50,ROM_ALUControl!$B$2:$B$20,0)),"00"),IF(C50=0,"08",IF(C50=1,"0a",IF(C50=3,"04",IFERROR(INDEX(ROM_ALUControl!$J$2:$J$20,MATCH(D50,ROM_ALUControl!$B$2:$B$20,0)),"00")))))</f>
        <v/>
      </c>
    </row>
    <row r="51">
      <c r="A51" s="2" t="n">
        <v>49</v>
      </c>
      <c r="B51" s="2">
        <f>DEC2HEX(A51,2)</f>
        <v/>
      </c>
      <c r="C51" s="2">
        <f>INT(A51/64)</f>
        <v/>
      </c>
      <c r="D51" s="2">
        <f>MOD(A51,64)</f>
        <v/>
      </c>
      <c r="E51" s="2">
        <f>IF(AND(D51=8,OR(C51=1,C51=2)),IFERROR(INDEX(ROM_ALUControl!$J$2:$J$20,MATCH(D51,ROM_ALUControl!$B$2:$B$20,0)),"00"),IF(C51=0,"08",IF(C51=1,"0a",IF(C51=3,"04",IFERROR(INDEX(ROM_ALUControl!$J$2:$J$20,MATCH(D51,ROM_ALUControl!$B$2:$B$20,0)),"00")))))</f>
        <v/>
      </c>
    </row>
    <row r="52">
      <c r="A52" s="2" t="n">
        <v>50</v>
      </c>
      <c r="B52" s="2">
        <f>DEC2HEX(A52,2)</f>
        <v/>
      </c>
      <c r="C52" s="2">
        <f>INT(A52/64)</f>
        <v/>
      </c>
      <c r="D52" s="2">
        <f>MOD(A52,64)</f>
        <v/>
      </c>
      <c r="E52" s="2">
        <f>IF(AND(D52=8,OR(C52=1,C52=2)),IFERROR(INDEX(ROM_ALUControl!$J$2:$J$20,MATCH(D52,ROM_ALUControl!$B$2:$B$20,0)),"00"),IF(C52=0,"08",IF(C52=1,"0a",IF(C52=3,"04",IFERROR(INDEX(ROM_ALUControl!$J$2:$J$20,MATCH(D52,ROM_ALUControl!$B$2:$B$20,0)),"00")))))</f>
        <v/>
      </c>
    </row>
    <row r="53">
      <c r="A53" s="2" t="n">
        <v>51</v>
      </c>
      <c r="B53" s="2">
        <f>DEC2HEX(A53,2)</f>
        <v/>
      </c>
      <c r="C53" s="2">
        <f>INT(A53/64)</f>
        <v/>
      </c>
      <c r="D53" s="2">
        <f>MOD(A53,64)</f>
        <v/>
      </c>
      <c r="E53" s="2">
        <f>IF(AND(D53=8,OR(C53=1,C53=2)),IFERROR(INDEX(ROM_ALUControl!$J$2:$J$20,MATCH(D53,ROM_ALUControl!$B$2:$B$20,0)),"00"),IF(C53=0,"08",IF(C53=1,"0a",IF(C53=3,"04",IFERROR(INDEX(ROM_ALUControl!$J$2:$J$20,MATCH(D53,ROM_ALUControl!$B$2:$B$20,0)),"00")))))</f>
        <v/>
      </c>
    </row>
    <row r="54">
      <c r="A54" s="2" t="n">
        <v>52</v>
      </c>
      <c r="B54" s="2">
        <f>DEC2HEX(A54,2)</f>
        <v/>
      </c>
      <c r="C54" s="2">
        <f>INT(A54/64)</f>
        <v/>
      </c>
      <c r="D54" s="2">
        <f>MOD(A54,64)</f>
        <v/>
      </c>
      <c r="E54" s="2">
        <f>IF(AND(D54=8,OR(C54=1,C54=2)),IFERROR(INDEX(ROM_ALUControl!$J$2:$J$20,MATCH(D54,ROM_ALUControl!$B$2:$B$20,0)),"00"),IF(C54=0,"08",IF(C54=1,"0a",IF(C54=3,"04",IFERROR(INDEX(ROM_ALUControl!$J$2:$J$20,MATCH(D54,ROM_ALUControl!$B$2:$B$20,0)),"00")))))</f>
        <v/>
      </c>
    </row>
    <row r="55">
      <c r="A55" s="2" t="n">
        <v>53</v>
      </c>
      <c r="B55" s="2">
        <f>DEC2HEX(A55,2)</f>
        <v/>
      </c>
      <c r="C55" s="2">
        <f>INT(A55/64)</f>
        <v/>
      </c>
      <c r="D55" s="2">
        <f>MOD(A55,64)</f>
        <v/>
      </c>
      <c r="E55" s="2">
        <f>IF(AND(D55=8,OR(C55=1,C55=2)),IFERROR(INDEX(ROM_ALUControl!$J$2:$J$20,MATCH(D55,ROM_ALUControl!$B$2:$B$20,0)),"00"),IF(C55=0,"08",IF(C55=1,"0a",IF(C55=3,"04",IFERROR(INDEX(ROM_ALUControl!$J$2:$J$20,MATCH(D55,ROM_ALUControl!$B$2:$B$20,0)),"00")))))</f>
        <v/>
      </c>
    </row>
    <row r="56">
      <c r="A56" s="2" t="n">
        <v>54</v>
      </c>
      <c r="B56" s="2">
        <f>DEC2HEX(A56,2)</f>
        <v/>
      </c>
      <c r="C56" s="2">
        <f>INT(A56/64)</f>
        <v/>
      </c>
      <c r="D56" s="2">
        <f>MOD(A56,64)</f>
        <v/>
      </c>
      <c r="E56" s="2">
        <f>IF(AND(D56=8,OR(C56=1,C56=2)),IFERROR(INDEX(ROM_ALUControl!$J$2:$J$20,MATCH(D56,ROM_ALUControl!$B$2:$B$20,0)),"00"),IF(C56=0,"08",IF(C56=1,"0a",IF(C56=3,"04",IFERROR(INDEX(ROM_ALUControl!$J$2:$J$20,MATCH(D56,ROM_ALUControl!$B$2:$B$20,0)),"00")))))</f>
        <v/>
      </c>
    </row>
    <row r="57">
      <c r="A57" s="2" t="n">
        <v>55</v>
      </c>
      <c r="B57" s="2">
        <f>DEC2HEX(A57,2)</f>
        <v/>
      </c>
      <c r="C57" s="2">
        <f>INT(A57/64)</f>
        <v/>
      </c>
      <c r="D57" s="2">
        <f>MOD(A57,64)</f>
        <v/>
      </c>
      <c r="E57" s="2">
        <f>IF(AND(D57=8,OR(C57=1,C57=2)),IFERROR(INDEX(ROM_ALUControl!$J$2:$J$20,MATCH(D57,ROM_ALUControl!$B$2:$B$20,0)),"00"),IF(C57=0,"08",IF(C57=1,"0a",IF(C57=3,"04",IFERROR(INDEX(ROM_ALUControl!$J$2:$J$20,MATCH(D57,ROM_ALUControl!$B$2:$B$20,0)),"00")))))</f>
        <v/>
      </c>
    </row>
    <row r="58">
      <c r="A58" s="2" t="n">
        <v>56</v>
      </c>
      <c r="B58" s="2">
        <f>DEC2HEX(A58,2)</f>
        <v/>
      </c>
      <c r="C58" s="2">
        <f>INT(A58/64)</f>
        <v/>
      </c>
      <c r="D58" s="2">
        <f>MOD(A58,64)</f>
        <v/>
      </c>
      <c r="E58" s="2">
        <f>IF(AND(D58=8,OR(C58=1,C58=2)),IFERROR(INDEX(ROM_ALUControl!$J$2:$J$20,MATCH(D58,ROM_ALUControl!$B$2:$B$20,0)),"00"),IF(C58=0,"08",IF(C58=1,"0a",IF(C58=3,"04",IFERROR(INDEX(ROM_ALUControl!$J$2:$J$20,MATCH(D58,ROM_ALUControl!$B$2:$B$20,0)),"00")))))</f>
        <v/>
      </c>
    </row>
    <row r="59">
      <c r="A59" s="2" t="n">
        <v>57</v>
      </c>
      <c r="B59" s="2">
        <f>DEC2HEX(A59,2)</f>
        <v/>
      </c>
      <c r="C59" s="2">
        <f>INT(A59/64)</f>
        <v/>
      </c>
      <c r="D59" s="2">
        <f>MOD(A59,64)</f>
        <v/>
      </c>
      <c r="E59" s="2">
        <f>IF(AND(D59=8,OR(C59=1,C59=2)),IFERROR(INDEX(ROM_ALUControl!$J$2:$J$20,MATCH(D59,ROM_ALUControl!$B$2:$B$20,0)),"00"),IF(C59=0,"08",IF(C59=1,"0a",IF(C59=3,"04",IFERROR(INDEX(ROM_ALUControl!$J$2:$J$20,MATCH(D59,ROM_ALUControl!$B$2:$B$20,0)),"00")))))</f>
        <v/>
      </c>
    </row>
    <row r="60">
      <c r="A60" s="2" t="n">
        <v>58</v>
      </c>
      <c r="B60" s="2">
        <f>DEC2HEX(A60,2)</f>
        <v/>
      </c>
      <c r="C60" s="2">
        <f>INT(A60/64)</f>
        <v/>
      </c>
      <c r="D60" s="2">
        <f>MOD(A60,64)</f>
        <v/>
      </c>
      <c r="E60" s="2">
        <f>IF(AND(D60=8,OR(C60=1,C60=2)),IFERROR(INDEX(ROM_ALUControl!$J$2:$J$20,MATCH(D60,ROM_ALUControl!$B$2:$B$20,0)),"00"),IF(C60=0,"08",IF(C60=1,"0a",IF(C60=3,"04",IFERROR(INDEX(ROM_ALUControl!$J$2:$J$20,MATCH(D60,ROM_ALUControl!$B$2:$B$20,0)),"00")))))</f>
        <v/>
      </c>
    </row>
    <row r="61">
      <c r="A61" s="2" t="n">
        <v>59</v>
      </c>
      <c r="B61" s="2">
        <f>DEC2HEX(A61,2)</f>
        <v/>
      </c>
      <c r="C61" s="2">
        <f>INT(A61/64)</f>
        <v/>
      </c>
      <c r="D61" s="2">
        <f>MOD(A61,64)</f>
        <v/>
      </c>
      <c r="E61" s="2">
        <f>IF(AND(D61=8,OR(C61=1,C61=2)),IFERROR(INDEX(ROM_ALUControl!$J$2:$J$20,MATCH(D61,ROM_ALUControl!$B$2:$B$20,0)),"00"),IF(C61=0,"08",IF(C61=1,"0a",IF(C61=3,"04",IFERROR(INDEX(ROM_ALUControl!$J$2:$J$20,MATCH(D61,ROM_ALUControl!$B$2:$B$20,0)),"00")))))</f>
        <v/>
      </c>
    </row>
    <row r="62">
      <c r="A62" s="2" t="n">
        <v>60</v>
      </c>
      <c r="B62" s="2">
        <f>DEC2HEX(A62,2)</f>
        <v/>
      </c>
      <c r="C62" s="2">
        <f>INT(A62/64)</f>
        <v/>
      </c>
      <c r="D62" s="2">
        <f>MOD(A62,64)</f>
        <v/>
      </c>
      <c r="E62" s="2">
        <f>IF(AND(D62=8,OR(C62=1,C62=2)),IFERROR(INDEX(ROM_ALUControl!$J$2:$J$20,MATCH(D62,ROM_ALUControl!$B$2:$B$20,0)),"00"),IF(C62=0,"08",IF(C62=1,"0a",IF(C62=3,"04",IFERROR(INDEX(ROM_ALUControl!$J$2:$J$20,MATCH(D62,ROM_ALUControl!$B$2:$B$20,0)),"00")))))</f>
        <v/>
      </c>
    </row>
    <row r="63">
      <c r="A63" s="2" t="n">
        <v>61</v>
      </c>
      <c r="B63" s="2">
        <f>DEC2HEX(A63,2)</f>
        <v/>
      </c>
      <c r="C63" s="2">
        <f>INT(A63/64)</f>
        <v/>
      </c>
      <c r="D63" s="2">
        <f>MOD(A63,64)</f>
        <v/>
      </c>
      <c r="E63" s="2">
        <f>IF(AND(D63=8,OR(C63=1,C63=2)),IFERROR(INDEX(ROM_ALUControl!$J$2:$J$20,MATCH(D63,ROM_ALUControl!$B$2:$B$20,0)),"00"),IF(C63=0,"08",IF(C63=1,"0a",IF(C63=3,"04",IFERROR(INDEX(ROM_ALUControl!$J$2:$J$20,MATCH(D63,ROM_ALUControl!$B$2:$B$20,0)),"00")))))</f>
        <v/>
      </c>
    </row>
    <row r="64">
      <c r="A64" s="2" t="n">
        <v>62</v>
      </c>
      <c r="B64" s="2">
        <f>DEC2HEX(A64,2)</f>
        <v/>
      </c>
      <c r="C64" s="2">
        <f>INT(A64/64)</f>
        <v/>
      </c>
      <c r="D64" s="2">
        <f>MOD(A64,64)</f>
        <v/>
      </c>
      <c r="E64" s="2">
        <f>IF(AND(D64=8,OR(C64=1,C64=2)),IFERROR(INDEX(ROM_ALUControl!$J$2:$J$20,MATCH(D64,ROM_ALUControl!$B$2:$B$20,0)),"00"),IF(C64=0,"08",IF(C64=1,"0a",IF(C64=3,"04",IFERROR(INDEX(ROM_ALUControl!$J$2:$J$20,MATCH(D64,ROM_ALUControl!$B$2:$B$20,0)),"00")))))</f>
        <v/>
      </c>
    </row>
    <row r="65">
      <c r="A65" s="2" t="n">
        <v>63</v>
      </c>
      <c r="B65" s="2">
        <f>DEC2HEX(A65,2)</f>
        <v/>
      </c>
      <c r="C65" s="2">
        <f>INT(A65/64)</f>
        <v/>
      </c>
      <c r="D65" s="2">
        <f>MOD(A65,64)</f>
        <v/>
      </c>
      <c r="E65" s="2">
        <f>IF(AND(D65=8,OR(C65=1,C65=2)),IFERROR(INDEX(ROM_ALUControl!$J$2:$J$20,MATCH(D65,ROM_ALUControl!$B$2:$B$20,0)),"00"),IF(C65=0,"08",IF(C65=1,"0a",IF(C65=3,"04",IFERROR(INDEX(ROM_ALUControl!$J$2:$J$20,MATCH(D65,ROM_ALUControl!$B$2:$B$20,0)),"00")))))</f>
        <v/>
      </c>
    </row>
    <row r="66">
      <c r="A66" s="2" t="n">
        <v>64</v>
      </c>
      <c r="B66" s="2">
        <f>DEC2HEX(A66,2)</f>
        <v/>
      </c>
      <c r="C66" s="2">
        <f>INT(A66/64)</f>
        <v/>
      </c>
      <c r="D66" s="2">
        <f>MOD(A66,64)</f>
        <v/>
      </c>
      <c r="E66" s="2">
        <f>IF(AND(D66=8,OR(C66=1,C66=2)),IFERROR(INDEX(ROM_ALUControl!$J$2:$J$20,MATCH(D66,ROM_ALUControl!$B$2:$B$20,0)),"00"),IF(C66=0,"08",IF(C66=1,"0a",IF(C66=3,"04",IFERROR(INDEX(ROM_ALUControl!$J$2:$J$20,MATCH(D66,ROM_ALUControl!$B$2:$B$20,0)),"00")))))</f>
        <v/>
      </c>
    </row>
    <row r="67">
      <c r="A67" s="2" t="n">
        <v>65</v>
      </c>
      <c r="B67" s="2">
        <f>DEC2HEX(A67,2)</f>
        <v/>
      </c>
      <c r="C67" s="2">
        <f>INT(A67/64)</f>
        <v/>
      </c>
      <c r="D67" s="2">
        <f>MOD(A67,64)</f>
        <v/>
      </c>
      <c r="E67" s="2">
        <f>IF(AND(D67=8,OR(C67=1,C67=2)),IFERROR(INDEX(ROM_ALUControl!$J$2:$J$20,MATCH(D67,ROM_ALUControl!$B$2:$B$20,0)),"00"),IF(C67=0,"08",IF(C67=1,"0a",IF(C67=3,"04",IFERROR(INDEX(ROM_ALUControl!$J$2:$J$20,MATCH(D67,ROM_ALUControl!$B$2:$B$20,0)),"00")))))</f>
        <v/>
      </c>
    </row>
    <row r="68">
      <c r="A68" s="2" t="n">
        <v>66</v>
      </c>
      <c r="B68" s="2">
        <f>DEC2HEX(A68,2)</f>
        <v/>
      </c>
      <c r="C68" s="2">
        <f>INT(A68/64)</f>
        <v/>
      </c>
      <c r="D68" s="2">
        <f>MOD(A68,64)</f>
        <v/>
      </c>
      <c r="E68" s="2">
        <f>IF(AND(D68=8,OR(C68=1,C68=2)),IFERROR(INDEX(ROM_ALUControl!$J$2:$J$20,MATCH(D68,ROM_ALUControl!$B$2:$B$20,0)),"00"),IF(C68=0,"08",IF(C68=1,"0a",IF(C68=3,"04",IFERROR(INDEX(ROM_ALUControl!$J$2:$J$20,MATCH(D68,ROM_ALUControl!$B$2:$B$20,0)),"00")))))</f>
        <v/>
      </c>
    </row>
    <row r="69">
      <c r="A69" s="2" t="n">
        <v>67</v>
      </c>
      <c r="B69" s="2">
        <f>DEC2HEX(A69,2)</f>
        <v/>
      </c>
      <c r="C69" s="2">
        <f>INT(A69/64)</f>
        <v/>
      </c>
      <c r="D69" s="2">
        <f>MOD(A69,64)</f>
        <v/>
      </c>
      <c r="E69" s="2">
        <f>IF(AND(D69=8,OR(C69=1,C69=2)),IFERROR(INDEX(ROM_ALUControl!$J$2:$J$20,MATCH(D69,ROM_ALUControl!$B$2:$B$20,0)),"00"),IF(C69=0,"08",IF(C69=1,"0a",IF(C69=3,"04",IFERROR(INDEX(ROM_ALUControl!$J$2:$J$20,MATCH(D69,ROM_ALUControl!$B$2:$B$20,0)),"00")))))</f>
        <v/>
      </c>
    </row>
    <row r="70">
      <c r="A70" s="2" t="n">
        <v>68</v>
      </c>
      <c r="B70" s="2">
        <f>DEC2HEX(A70,2)</f>
        <v/>
      </c>
      <c r="C70" s="2">
        <f>INT(A70/64)</f>
        <v/>
      </c>
      <c r="D70" s="2">
        <f>MOD(A70,64)</f>
        <v/>
      </c>
      <c r="E70" s="2">
        <f>IF(AND(D70=8,OR(C70=1,C70=2)),IFERROR(INDEX(ROM_ALUControl!$J$2:$J$20,MATCH(D70,ROM_ALUControl!$B$2:$B$20,0)),"00"),IF(C70=0,"08",IF(C70=1,"0a",IF(C70=3,"04",IFERROR(INDEX(ROM_ALUControl!$J$2:$J$20,MATCH(D70,ROM_ALUControl!$B$2:$B$20,0)),"00")))))</f>
        <v/>
      </c>
    </row>
    <row r="71">
      <c r="A71" s="2" t="n">
        <v>69</v>
      </c>
      <c r="B71" s="2">
        <f>DEC2HEX(A71,2)</f>
        <v/>
      </c>
      <c r="C71" s="2">
        <f>INT(A71/64)</f>
        <v/>
      </c>
      <c r="D71" s="2">
        <f>MOD(A71,64)</f>
        <v/>
      </c>
      <c r="E71" s="2">
        <f>IF(AND(D71=8,OR(C71=1,C71=2)),IFERROR(INDEX(ROM_ALUControl!$J$2:$J$20,MATCH(D71,ROM_ALUControl!$B$2:$B$20,0)),"00"),IF(C71=0,"08",IF(C71=1,"0a",IF(C71=3,"04",IFERROR(INDEX(ROM_ALUControl!$J$2:$J$20,MATCH(D71,ROM_ALUControl!$B$2:$B$20,0)),"00")))))</f>
        <v/>
      </c>
    </row>
    <row r="72">
      <c r="A72" s="2" t="n">
        <v>70</v>
      </c>
      <c r="B72" s="2">
        <f>DEC2HEX(A72,2)</f>
        <v/>
      </c>
      <c r="C72" s="2">
        <f>INT(A72/64)</f>
        <v/>
      </c>
      <c r="D72" s="2">
        <f>MOD(A72,64)</f>
        <v/>
      </c>
      <c r="E72" s="2">
        <f>IF(AND(D72=8,OR(C72=1,C72=2)),IFERROR(INDEX(ROM_ALUControl!$J$2:$J$20,MATCH(D72,ROM_ALUControl!$B$2:$B$20,0)),"00"),IF(C72=0,"08",IF(C72=1,"0a",IF(C72=3,"04",IFERROR(INDEX(ROM_ALUControl!$J$2:$J$20,MATCH(D72,ROM_ALUControl!$B$2:$B$20,0)),"00")))))</f>
        <v/>
      </c>
    </row>
    <row r="73">
      <c r="A73" s="2" t="n">
        <v>71</v>
      </c>
      <c r="B73" s="2">
        <f>DEC2HEX(A73,2)</f>
        <v/>
      </c>
      <c r="C73" s="2">
        <f>INT(A73/64)</f>
        <v/>
      </c>
      <c r="D73" s="2">
        <f>MOD(A73,64)</f>
        <v/>
      </c>
      <c r="E73" s="2">
        <f>IF(AND(D73=8,OR(C73=1,C73=2)),IFERROR(INDEX(ROM_ALUControl!$J$2:$J$20,MATCH(D73,ROM_ALUControl!$B$2:$B$20,0)),"00"),IF(C73=0,"08",IF(C73=1,"0a",IF(C73=3,"04",IFERROR(INDEX(ROM_ALUControl!$J$2:$J$20,MATCH(D73,ROM_ALUControl!$B$2:$B$20,0)),"00")))))</f>
        <v/>
      </c>
    </row>
    <row r="74">
      <c r="A74" s="2" t="n">
        <v>72</v>
      </c>
      <c r="B74" s="2">
        <f>DEC2HEX(A74,2)</f>
        <v/>
      </c>
      <c r="C74" s="2">
        <f>INT(A74/64)</f>
        <v/>
      </c>
      <c r="D74" s="2">
        <f>MOD(A74,64)</f>
        <v/>
      </c>
      <c r="E74" s="2">
        <f>IF(AND(D74=8,OR(C74=1,C74=2)),IFERROR(INDEX(ROM_ALUControl!$J$2:$J$20,MATCH(D74,ROM_ALUControl!$B$2:$B$20,0)),"00"),IF(C74=0,"08",IF(C74=1,"0a",IF(C74=3,"04",IFERROR(INDEX(ROM_ALUControl!$J$2:$J$20,MATCH(D74,ROM_ALUControl!$B$2:$B$20,0)),"00")))))</f>
        <v/>
      </c>
    </row>
    <row r="75">
      <c r="A75" s="2" t="n">
        <v>73</v>
      </c>
      <c r="B75" s="2">
        <f>DEC2HEX(A75,2)</f>
        <v/>
      </c>
      <c r="C75" s="2">
        <f>INT(A75/64)</f>
        <v/>
      </c>
      <c r="D75" s="2">
        <f>MOD(A75,64)</f>
        <v/>
      </c>
      <c r="E75" s="2">
        <f>IF(AND(D75=8,OR(C75=1,C75=2)),IFERROR(INDEX(ROM_ALUControl!$J$2:$J$20,MATCH(D75,ROM_ALUControl!$B$2:$B$20,0)),"00"),IF(C75=0,"08",IF(C75=1,"0a",IF(C75=3,"04",IFERROR(INDEX(ROM_ALUControl!$J$2:$J$20,MATCH(D75,ROM_ALUControl!$B$2:$B$20,0)),"00")))))</f>
        <v/>
      </c>
    </row>
    <row r="76">
      <c r="A76" s="2" t="n">
        <v>74</v>
      </c>
      <c r="B76" s="2">
        <f>DEC2HEX(A76,2)</f>
        <v/>
      </c>
      <c r="C76" s="2">
        <f>INT(A76/64)</f>
        <v/>
      </c>
      <c r="D76" s="2">
        <f>MOD(A76,64)</f>
        <v/>
      </c>
      <c r="E76" s="2">
        <f>IF(AND(D76=8,OR(C76=1,C76=2)),IFERROR(INDEX(ROM_ALUControl!$J$2:$J$20,MATCH(D76,ROM_ALUControl!$B$2:$B$20,0)),"00"),IF(C76=0,"08",IF(C76=1,"0a",IF(C76=3,"04",IFERROR(INDEX(ROM_ALUControl!$J$2:$J$20,MATCH(D76,ROM_ALUControl!$B$2:$B$20,0)),"00")))))</f>
        <v/>
      </c>
    </row>
    <row r="77">
      <c r="A77" s="2" t="n">
        <v>75</v>
      </c>
      <c r="B77" s="2">
        <f>DEC2HEX(A77,2)</f>
        <v/>
      </c>
      <c r="C77" s="2">
        <f>INT(A77/64)</f>
        <v/>
      </c>
      <c r="D77" s="2">
        <f>MOD(A77,64)</f>
        <v/>
      </c>
      <c r="E77" s="2">
        <f>IF(AND(D77=8,OR(C77=1,C77=2)),IFERROR(INDEX(ROM_ALUControl!$J$2:$J$20,MATCH(D77,ROM_ALUControl!$B$2:$B$20,0)),"00"),IF(C77=0,"08",IF(C77=1,"0a",IF(C77=3,"04",IFERROR(INDEX(ROM_ALUControl!$J$2:$J$20,MATCH(D77,ROM_ALUControl!$B$2:$B$20,0)),"00")))))</f>
        <v/>
      </c>
    </row>
    <row r="78">
      <c r="A78" s="2" t="n">
        <v>76</v>
      </c>
      <c r="B78" s="2">
        <f>DEC2HEX(A78,2)</f>
        <v/>
      </c>
      <c r="C78" s="2">
        <f>INT(A78/64)</f>
        <v/>
      </c>
      <c r="D78" s="2">
        <f>MOD(A78,64)</f>
        <v/>
      </c>
      <c r="E78" s="2">
        <f>IF(AND(D78=8,OR(C78=1,C78=2)),IFERROR(INDEX(ROM_ALUControl!$J$2:$J$20,MATCH(D78,ROM_ALUControl!$B$2:$B$20,0)),"00"),IF(C78=0,"08",IF(C78=1,"0a",IF(C78=3,"04",IFERROR(INDEX(ROM_ALUControl!$J$2:$J$20,MATCH(D78,ROM_ALUControl!$B$2:$B$20,0)),"00")))))</f>
        <v/>
      </c>
    </row>
    <row r="79">
      <c r="A79" s="2" t="n">
        <v>77</v>
      </c>
      <c r="B79" s="2">
        <f>DEC2HEX(A79,2)</f>
        <v/>
      </c>
      <c r="C79" s="2">
        <f>INT(A79/64)</f>
        <v/>
      </c>
      <c r="D79" s="2">
        <f>MOD(A79,64)</f>
        <v/>
      </c>
      <c r="E79" s="2">
        <f>IF(AND(D79=8,OR(C79=1,C79=2)),IFERROR(INDEX(ROM_ALUControl!$J$2:$J$20,MATCH(D79,ROM_ALUControl!$B$2:$B$20,0)),"00"),IF(C79=0,"08",IF(C79=1,"0a",IF(C79=3,"04",IFERROR(INDEX(ROM_ALUControl!$J$2:$J$20,MATCH(D79,ROM_ALUControl!$B$2:$B$20,0)),"00")))))</f>
        <v/>
      </c>
    </row>
    <row r="80">
      <c r="A80" s="2" t="n">
        <v>78</v>
      </c>
      <c r="B80" s="2">
        <f>DEC2HEX(A80,2)</f>
        <v/>
      </c>
      <c r="C80" s="2">
        <f>INT(A80/64)</f>
        <v/>
      </c>
      <c r="D80" s="2">
        <f>MOD(A80,64)</f>
        <v/>
      </c>
      <c r="E80" s="2">
        <f>IF(AND(D80=8,OR(C80=1,C80=2)),IFERROR(INDEX(ROM_ALUControl!$J$2:$J$20,MATCH(D80,ROM_ALUControl!$B$2:$B$20,0)),"00"),IF(C80=0,"08",IF(C80=1,"0a",IF(C80=3,"04",IFERROR(INDEX(ROM_ALUControl!$J$2:$J$20,MATCH(D80,ROM_ALUControl!$B$2:$B$20,0)),"00")))))</f>
        <v/>
      </c>
    </row>
    <row r="81">
      <c r="A81" s="2" t="n">
        <v>79</v>
      </c>
      <c r="B81" s="2">
        <f>DEC2HEX(A81,2)</f>
        <v/>
      </c>
      <c r="C81" s="2">
        <f>INT(A81/64)</f>
        <v/>
      </c>
      <c r="D81" s="2">
        <f>MOD(A81,64)</f>
        <v/>
      </c>
      <c r="E81" s="2">
        <f>IF(AND(D81=8,OR(C81=1,C81=2)),IFERROR(INDEX(ROM_ALUControl!$J$2:$J$20,MATCH(D81,ROM_ALUControl!$B$2:$B$20,0)),"00"),IF(C81=0,"08",IF(C81=1,"0a",IF(C81=3,"04",IFERROR(INDEX(ROM_ALUControl!$J$2:$J$20,MATCH(D81,ROM_ALUControl!$B$2:$B$20,0)),"00")))))</f>
        <v/>
      </c>
    </row>
    <row r="82">
      <c r="A82" s="2" t="n">
        <v>80</v>
      </c>
      <c r="B82" s="2">
        <f>DEC2HEX(A82,2)</f>
        <v/>
      </c>
      <c r="C82" s="2">
        <f>INT(A82/64)</f>
        <v/>
      </c>
      <c r="D82" s="2">
        <f>MOD(A82,64)</f>
        <v/>
      </c>
      <c r="E82" s="2">
        <f>IF(AND(D82=8,OR(C82=1,C82=2)),IFERROR(INDEX(ROM_ALUControl!$J$2:$J$20,MATCH(D82,ROM_ALUControl!$B$2:$B$20,0)),"00"),IF(C82=0,"08",IF(C82=1,"0a",IF(C82=3,"04",IFERROR(INDEX(ROM_ALUControl!$J$2:$J$20,MATCH(D82,ROM_ALUControl!$B$2:$B$20,0)),"00")))))</f>
        <v/>
      </c>
    </row>
    <row r="83">
      <c r="A83" s="2" t="n">
        <v>81</v>
      </c>
      <c r="B83" s="2">
        <f>DEC2HEX(A83,2)</f>
        <v/>
      </c>
      <c r="C83" s="2">
        <f>INT(A83/64)</f>
        <v/>
      </c>
      <c r="D83" s="2">
        <f>MOD(A83,64)</f>
        <v/>
      </c>
      <c r="E83" s="2">
        <f>IF(AND(D83=8,OR(C83=1,C83=2)),IFERROR(INDEX(ROM_ALUControl!$J$2:$J$20,MATCH(D83,ROM_ALUControl!$B$2:$B$20,0)),"00"),IF(C83=0,"08",IF(C83=1,"0a",IF(C83=3,"04",IFERROR(INDEX(ROM_ALUControl!$J$2:$J$20,MATCH(D83,ROM_ALUControl!$B$2:$B$20,0)),"00")))))</f>
        <v/>
      </c>
    </row>
    <row r="84">
      <c r="A84" s="2" t="n">
        <v>82</v>
      </c>
      <c r="B84" s="2">
        <f>DEC2HEX(A84,2)</f>
        <v/>
      </c>
      <c r="C84" s="2">
        <f>INT(A84/64)</f>
        <v/>
      </c>
      <c r="D84" s="2">
        <f>MOD(A84,64)</f>
        <v/>
      </c>
      <c r="E84" s="2">
        <f>IF(AND(D84=8,OR(C84=1,C84=2)),IFERROR(INDEX(ROM_ALUControl!$J$2:$J$20,MATCH(D84,ROM_ALUControl!$B$2:$B$20,0)),"00"),IF(C84=0,"08",IF(C84=1,"0a",IF(C84=3,"04",IFERROR(INDEX(ROM_ALUControl!$J$2:$J$20,MATCH(D84,ROM_ALUControl!$B$2:$B$20,0)),"00")))))</f>
        <v/>
      </c>
    </row>
    <row r="85">
      <c r="A85" s="2" t="n">
        <v>83</v>
      </c>
      <c r="B85" s="2">
        <f>DEC2HEX(A85,2)</f>
        <v/>
      </c>
      <c r="C85" s="2">
        <f>INT(A85/64)</f>
        <v/>
      </c>
      <c r="D85" s="2">
        <f>MOD(A85,64)</f>
        <v/>
      </c>
      <c r="E85" s="2">
        <f>IF(AND(D85=8,OR(C85=1,C85=2)),IFERROR(INDEX(ROM_ALUControl!$J$2:$J$20,MATCH(D85,ROM_ALUControl!$B$2:$B$20,0)),"00"),IF(C85=0,"08",IF(C85=1,"0a",IF(C85=3,"04",IFERROR(INDEX(ROM_ALUControl!$J$2:$J$20,MATCH(D85,ROM_ALUControl!$B$2:$B$20,0)),"00")))))</f>
        <v/>
      </c>
    </row>
    <row r="86">
      <c r="A86" s="2" t="n">
        <v>84</v>
      </c>
      <c r="B86" s="2">
        <f>DEC2HEX(A86,2)</f>
        <v/>
      </c>
      <c r="C86" s="2">
        <f>INT(A86/64)</f>
        <v/>
      </c>
      <c r="D86" s="2">
        <f>MOD(A86,64)</f>
        <v/>
      </c>
      <c r="E86" s="2">
        <f>IF(AND(D86=8,OR(C86=1,C86=2)),IFERROR(INDEX(ROM_ALUControl!$J$2:$J$20,MATCH(D86,ROM_ALUControl!$B$2:$B$20,0)),"00"),IF(C86=0,"08",IF(C86=1,"0a",IF(C86=3,"04",IFERROR(INDEX(ROM_ALUControl!$J$2:$J$20,MATCH(D86,ROM_ALUControl!$B$2:$B$20,0)),"00")))))</f>
        <v/>
      </c>
    </row>
    <row r="87">
      <c r="A87" s="2" t="n">
        <v>85</v>
      </c>
      <c r="B87" s="2">
        <f>DEC2HEX(A87,2)</f>
        <v/>
      </c>
      <c r="C87" s="2">
        <f>INT(A87/64)</f>
        <v/>
      </c>
      <c r="D87" s="2">
        <f>MOD(A87,64)</f>
        <v/>
      </c>
      <c r="E87" s="2">
        <f>IF(AND(D87=8,OR(C87=1,C87=2)),IFERROR(INDEX(ROM_ALUControl!$J$2:$J$20,MATCH(D87,ROM_ALUControl!$B$2:$B$20,0)),"00"),IF(C87=0,"08",IF(C87=1,"0a",IF(C87=3,"04",IFERROR(INDEX(ROM_ALUControl!$J$2:$J$20,MATCH(D87,ROM_ALUControl!$B$2:$B$20,0)),"00")))))</f>
        <v/>
      </c>
    </row>
    <row r="88">
      <c r="A88" s="2" t="n">
        <v>86</v>
      </c>
      <c r="B88" s="2">
        <f>DEC2HEX(A88,2)</f>
        <v/>
      </c>
      <c r="C88" s="2">
        <f>INT(A88/64)</f>
        <v/>
      </c>
      <c r="D88" s="2">
        <f>MOD(A88,64)</f>
        <v/>
      </c>
      <c r="E88" s="2">
        <f>IF(AND(D88=8,OR(C88=1,C88=2)),IFERROR(INDEX(ROM_ALUControl!$J$2:$J$20,MATCH(D88,ROM_ALUControl!$B$2:$B$20,0)),"00"),IF(C88=0,"08",IF(C88=1,"0a",IF(C88=3,"04",IFERROR(INDEX(ROM_ALUControl!$J$2:$J$20,MATCH(D88,ROM_ALUControl!$B$2:$B$20,0)),"00")))))</f>
        <v/>
      </c>
    </row>
    <row r="89">
      <c r="A89" s="2" t="n">
        <v>87</v>
      </c>
      <c r="B89" s="2">
        <f>DEC2HEX(A89,2)</f>
        <v/>
      </c>
      <c r="C89" s="2">
        <f>INT(A89/64)</f>
        <v/>
      </c>
      <c r="D89" s="2">
        <f>MOD(A89,64)</f>
        <v/>
      </c>
      <c r="E89" s="2">
        <f>IF(AND(D89=8,OR(C89=1,C89=2)),IFERROR(INDEX(ROM_ALUControl!$J$2:$J$20,MATCH(D89,ROM_ALUControl!$B$2:$B$20,0)),"00"),IF(C89=0,"08",IF(C89=1,"0a",IF(C89=3,"04",IFERROR(INDEX(ROM_ALUControl!$J$2:$J$20,MATCH(D89,ROM_ALUControl!$B$2:$B$20,0)),"00")))))</f>
        <v/>
      </c>
    </row>
    <row r="90">
      <c r="A90" s="2" t="n">
        <v>88</v>
      </c>
      <c r="B90" s="2">
        <f>DEC2HEX(A90,2)</f>
        <v/>
      </c>
      <c r="C90" s="2">
        <f>INT(A90/64)</f>
        <v/>
      </c>
      <c r="D90" s="2">
        <f>MOD(A90,64)</f>
        <v/>
      </c>
      <c r="E90" s="2">
        <f>IF(AND(D90=8,OR(C90=1,C90=2)),IFERROR(INDEX(ROM_ALUControl!$J$2:$J$20,MATCH(D90,ROM_ALUControl!$B$2:$B$20,0)),"00"),IF(C90=0,"08",IF(C90=1,"0a",IF(C90=3,"04",IFERROR(INDEX(ROM_ALUControl!$J$2:$J$20,MATCH(D90,ROM_ALUControl!$B$2:$B$20,0)),"00")))))</f>
        <v/>
      </c>
    </row>
    <row r="91">
      <c r="A91" s="2" t="n">
        <v>89</v>
      </c>
      <c r="B91" s="2">
        <f>DEC2HEX(A91,2)</f>
        <v/>
      </c>
      <c r="C91" s="2">
        <f>INT(A91/64)</f>
        <v/>
      </c>
      <c r="D91" s="2">
        <f>MOD(A91,64)</f>
        <v/>
      </c>
      <c r="E91" s="2">
        <f>IF(AND(D91=8,OR(C91=1,C91=2)),IFERROR(INDEX(ROM_ALUControl!$J$2:$J$20,MATCH(D91,ROM_ALUControl!$B$2:$B$20,0)),"00"),IF(C91=0,"08",IF(C91=1,"0a",IF(C91=3,"04",IFERROR(INDEX(ROM_ALUControl!$J$2:$J$20,MATCH(D91,ROM_ALUControl!$B$2:$B$20,0)),"00")))))</f>
        <v/>
      </c>
    </row>
    <row r="92">
      <c r="A92" s="2" t="n">
        <v>90</v>
      </c>
      <c r="B92" s="2">
        <f>DEC2HEX(A92,2)</f>
        <v/>
      </c>
      <c r="C92" s="2">
        <f>INT(A92/64)</f>
        <v/>
      </c>
      <c r="D92" s="2">
        <f>MOD(A92,64)</f>
        <v/>
      </c>
      <c r="E92" s="2">
        <f>IF(AND(D92=8,OR(C92=1,C92=2)),IFERROR(INDEX(ROM_ALUControl!$J$2:$J$20,MATCH(D92,ROM_ALUControl!$B$2:$B$20,0)),"00"),IF(C92=0,"08",IF(C92=1,"0a",IF(C92=3,"04",IFERROR(INDEX(ROM_ALUControl!$J$2:$J$20,MATCH(D92,ROM_ALUControl!$B$2:$B$20,0)),"00")))))</f>
        <v/>
      </c>
    </row>
    <row r="93">
      <c r="A93" s="2" t="n">
        <v>91</v>
      </c>
      <c r="B93" s="2">
        <f>DEC2HEX(A93,2)</f>
        <v/>
      </c>
      <c r="C93" s="2">
        <f>INT(A93/64)</f>
        <v/>
      </c>
      <c r="D93" s="2">
        <f>MOD(A93,64)</f>
        <v/>
      </c>
      <c r="E93" s="2">
        <f>IF(AND(D93=8,OR(C93=1,C93=2)),IFERROR(INDEX(ROM_ALUControl!$J$2:$J$20,MATCH(D93,ROM_ALUControl!$B$2:$B$20,0)),"00"),IF(C93=0,"08",IF(C93=1,"0a",IF(C93=3,"04",IFERROR(INDEX(ROM_ALUControl!$J$2:$J$20,MATCH(D93,ROM_ALUControl!$B$2:$B$20,0)),"00")))))</f>
        <v/>
      </c>
    </row>
    <row r="94">
      <c r="A94" s="2" t="n">
        <v>92</v>
      </c>
      <c r="B94" s="2">
        <f>DEC2HEX(A94,2)</f>
        <v/>
      </c>
      <c r="C94" s="2">
        <f>INT(A94/64)</f>
        <v/>
      </c>
      <c r="D94" s="2">
        <f>MOD(A94,64)</f>
        <v/>
      </c>
      <c r="E94" s="2">
        <f>IF(AND(D94=8,OR(C94=1,C94=2)),IFERROR(INDEX(ROM_ALUControl!$J$2:$J$20,MATCH(D94,ROM_ALUControl!$B$2:$B$20,0)),"00"),IF(C94=0,"08",IF(C94=1,"0a",IF(C94=3,"04",IFERROR(INDEX(ROM_ALUControl!$J$2:$J$20,MATCH(D94,ROM_ALUControl!$B$2:$B$20,0)),"00")))))</f>
        <v/>
      </c>
    </row>
    <row r="95">
      <c r="A95" s="2" t="n">
        <v>93</v>
      </c>
      <c r="B95" s="2">
        <f>DEC2HEX(A95,2)</f>
        <v/>
      </c>
      <c r="C95" s="2">
        <f>INT(A95/64)</f>
        <v/>
      </c>
      <c r="D95" s="2">
        <f>MOD(A95,64)</f>
        <v/>
      </c>
      <c r="E95" s="2">
        <f>IF(AND(D95=8,OR(C95=1,C95=2)),IFERROR(INDEX(ROM_ALUControl!$J$2:$J$20,MATCH(D95,ROM_ALUControl!$B$2:$B$20,0)),"00"),IF(C95=0,"08",IF(C95=1,"0a",IF(C95=3,"04",IFERROR(INDEX(ROM_ALUControl!$J$2:$J$20,MATCH(D95,ROM_ALUControl!$B$2:$B$20,0)),"00")))))</f>
        <v/>
      </c>
    </row>
    <row r="96">
      <c r="A96" s="2" t="n">
        <v>94</v>
      </c>
      <c r="B96" s="2">
        <f>DEC2HEX(A96,2)</f>
        <v/>
      </c>
      <c r="C96" s="2">
        <f>INT(A96/64)</f>
        <v/>
      </c>
      <c r="D96" s="2">
        <f>MOD(A96,64)</f>
        <v/>
      </c>
      <c r="E96" s="2">
        <f>IF(AND(D96=8,OR(C96=1,C96=2)),IFERROR(INDEX(ROM_ALUControl!$J$2:$J$20,MATCH(D96,ROM_ALUControl!$B$2:$B$20,0)),"00"),IF(C96=0,"08",IF(C96=1,"0a",IF(C96=3,"04",IFERROR(INDEX(ROM_ALUControl!$J$2:$J$20,MATCH(D96,ROM_ALUControl!$B$2:$B$20,0)),"00")))))</f>
        <v/>
      </c>
    </row>
    <row r="97">
      <c r="A97" s="2" t="n">
        <v>95</v>
      </c>
      <c r="B97" s="2">
        <f>DEC2HEX(A97,2)</f>
        <v/>
      </c>
      <c r="C97" s="2">
        <f>INT(A97/64)</f>
        <v/>
      </c>
      <c r="D97" s="2">
        <f>MOD(A97,64)</f>
        <v/>
      </c>
      <c r="E97" s="2">
        <f>IF(AND(D97=8,OR(C97=1,C97=2)),IFERROR(INDEX(ROM_ALUControl!$J$2:$J$20,MATCH(D97,ROM_ALUControl!$B$2:$B$20,0)),"00"),IF(C97=0,"08",IF(C97=1,"0a",IF(C97=3,"04",IFERROR(INDEX(ROM_ALUControl!$J$2:$J$20,MATCH(D97,ROM_ALUControl!$B$2:$B$20,0)),"00")))))</f>
        <v/>
      </c>
    </row>
    <row r="98">
      <c r="A98" s="2" t="n">
        <v>96</v>
      </c>
      <c r="B98" s="2">
        <f>DEC2HEX(A98,2)</f>
        <v/>
      </c>
      <c r="C98" s="2">
        <f>INT(A98/64)</f>
        <v/>
      </c>
      <c r="D98" s="2">
        <f>MOD(A98,64)</f>
        <v/>
      </c>
      <c r="E98" s="2">
        <f>IF(AND(D98=8,OR(C98=1,C98=2)),IFERROR(INDEX(ROM_ALUControl!$J$2:$J$20,MATCH(D98,ROM_ALUControl!$B$2:$B$20,0)),"00"),IF(C98=0,"08",IF(C98=1,"0a",IF(C98=3,"04",IFERROR(INDEX(ROM_ALUControl!$J$2:$J$20,MATCH(D98,ROM_ALUControl!$B$2:$B$20,0)),"00")))))</f>
        <v/>
      </c>
    </row>
    <row r="99">
      <c r="A99" s="2" t="n">
        <v>97</v>
      </c>
      <c r="B99" s="2">
        <f>DEC2HEX(A99,2)</f>
        <v/>
      </c>
      <c r="C99" s="2">
        <f>INT(A99/64)</f>
        <v/>
      </c>
      <c r="D99" s="2">
        <f>MOD(A99,64)</f>
        <v/>
      </c>
      <c r="E99" s="2">
        <f>IF(AND(D99=8,OR(C99=1,C99=2)),IFERROR(INDEX(ROM_ALUControl!$J$2:$J$20,MATCH(D99,ROM_ALUControl!$B$2:$B$20,0)),"00"),IF(C99=0,"08",IF(C99=1,"0a",IF(C99=3,"04",IFERROR(INDEX(ROM_ALUControl!$J$2:$J$20,MATCH(D99,ROM_ALUControl!$B$2:$B$20,0)),"00")))))</f>
        <v/>
      </c>
    </row>
    <row r="100">
      <c r="A100" s="2" t="n">
        <v>98</v>
      </c>
      <c r="B100" s="2">
        <f>DEC2HEX(A100,2)</f>
        <v/>
      </c>
      <c r="C100" s="2">
        <f>INT(A100/64)</f>
        <v/>
      </c>
      <c r="D100" s="2">
        <f>MOD(A100,64)</f>
        <v/>
      </c>
      <c r="E100" s="2">
        <f>IF(AND(D100=8,OR(C100=1,C100=2)),IFERROR(INDEX(ROM_ALUControl!$J$2:$J$20,MATCH(D100,ROM_ALUControl!$B$2:$B$20,0)),"00"),IF(C100=0,"08",IF(C100=1,"0a",IF(C100=3,"04",IFERROR(INDEX(ROM_ALUControl!$J$2:$J$20,MATCH(D100,ROM_ALUControl!$B$2:$B$20,0)),"00")))))</f>
        <v/>
      </c>
    </row>
    <row r="101">
      <c r="A101" s="2" t="n">
        <v>99</v>
      </c>
      <c r="B101" s="2">
        <f>DEC2HEX(A101,2)</f>
        <v/>
      </c>
      <c r="C101" s="2">
        <f>INT(A101/64)</f>
        <v/>
      </c>
      <c r="D101" s="2">
        <f>MOD(A101,64)</f>
        <v/>
      </c>
      <c r="E101" s="2">
        <f>IF(AND(D101=8,OR(C101=1,C101=2)),IFERROR(INDEX(ROM_ALUControl!$J$2:$J$20,MATCH(D101,ROM_ALUControl!$B$2:$B$20,0)),"00"),IF(C101=0,"08",IF(C101=1,"0a",IF(C101=3,"04",IFERROR(INDEX(ROM_ALUControl!$J$2:$J$20,MATCH(D101,ROM_ALUControl!$B$2:$B$20,0)),"00")))))</f>
        <v/>
      </c>
    </row>
    <row r="102">
      <c r="A102" s="2" t="n">
        <v>100</v>
      </c>
      <c r="B102" s="2">
        <f>DEC2HEX(A102,2)</f>
        <v/>
      </c>
      <c r="C102" s="2">
        <f>INT(A102/64)</f>
        <v/>
      </c>
      <c r="D102" s="2">
        <f>MOD(A102,64)</f>
        <v/>
      </c>
      <c r="E102" s="2">
        <f>IF(AND(D102=8,OR(C102=1,C102=2)),IFERROR(INDEX(ROM_ALUControl!$J$2:$J$20,MATCH(D102,ROM_ALUControl!$B$2:$B$20,0)),"00"),IF(C102=0,"08",IF(C102=1,"0a",IF(C102=3,"04",IFERROR(INDEX(ROM_ALUControl!$J$2:$J$20,MATCH(D102,ROM_ALUControl!$B$2:$B$20,0)),"00")))))</f>
        <v/>
      </c>
    </row>
    <row r="103">
      <c r="A103" s="2" t="n">
        <v>101</v>
      </c>
      <c r="B103" s="2">
        <f>DEC2HEX(A103,2)</f>
        <v/>
      </c>
      <c r="C103" s="2">
        <f>INT(A103/64)</f>
        <v/>
      </c>
      <c r="D103" s="2">
        <f>MOD(A103,64)</f>
        <v/>
      </c>
      <c r="E103" s="2">
        <f>IF(AND(D103=8,OR(C103=1,C103=2)),IFERROR(INDEX(ROM_ALUControl!$J$2:$J$20,MATCH(D103,ROM_ALUControl!$B$2:$B$20,0)),"00"),IF(C103=0,"08",IF(C103=1,"0a",IF(C103=3,"04",IFERROR(INDEX(ROM_ALUControl!$J$2:$J$20,MATCH(D103,ROM_ALUControl!$B$2:$B$20,0)),"00")))))</f>
        <v/>
      </c>
    </row>
    <row r="104">
      <c r="A104" s="2" t="n">
        <v>102</v>
      </c>
      <c r="B104" s="2">
        <f>DEC2HEX(A104,2)</f>
        <v/>
      </c>
      <c r="C104" s="2">
        <f>INT(A104/64)</f>
        <v/>
      </c>
      <c r="D104" s="2">
        <f>MOD(A104,64)</f>
        <v/>
      </c>
      <c r="E104" s="2">
        <f>IF(AND(D104=8,OR(C104=1,C104=2)),IFERROR(INDEX(ROM_ALUControl!$J$2:$J$20,MATCH(D104,ROM_ALUControl!$B$2:$B$20,0)),"00"),IF(C104=0,"08",IF(C104=1,"0a",IF(C104=3,"04",IFERROR(INDEX(ROM_ALUControl!$J$2:$J$20,MATCH(D104,ROM_ALUControl!$B$2:$B$20,0)),"00")))))</f>
        <v/>
      </c>
    </row>
    <row r="105">
      <c r="A105" s="2" t="n">
        <v>103</v>
      </c>
      <c r="B105" s="2">
        <f>DEC2HEX(A105,2)</f>
        <v/>
      </c>
      <c r="C105" s="2">
        <f>INT(A105/64)</f>
        <v/>
      </c>
      <c r="D105" s="2">
        <f>MOD(A105,64)</f>
        <v/>
      </c>
      <c r="E105" s="2">
        <f>IF(AND(D105=8,OR(C105=1,C105=2)),IFERROR(INDEX(ROM_ALUControl!$J$2:$J$20,MATCH(D105,ROM_ALUControl!$B$2:$B$20,0)),"00"),IF(C105=0,"08",IF(C105=1,"0a",IF(C105=3,"04",IFERROR(INDEX(ROM_ALUControl!$J$2:$J$20,MATCH(D105,ROM_ALUControl!$B$2:$B$20,0)),"00")))))</f>
        <v/>
      </c>
    </row>
    <row r="106">
      <c r="A106" s="2" t="n">
        <v>104</v>
      </c>
      <c r="B106" s="2">
        <f>DEC2HEX(A106,2)</f>
        <v/>
      </c>
      <c r="C106" s="2">
        <f>INT(A106/64)</f>
        <v/>
      </c>
      <c r="D106" s="2">
        <f>MOD(A106,64)</f>
        <v/>
      </c>
      <c r="E106" s="2">
        <f>IF(AND(D106=8,OR(C106=1,C106=2)),IFERROR(INDEX(ROM_ALUControl!$J$2:$J$20,MATCH(D106,ROM_ALUControl!$B$2:$B$20,0)),"00"),IF(C106=0,"08",IF(C106=1,"0a",IF(C106=3,"04",IFERROR(INDEX(ROM_ALUControl!$J$2:$J$20,MATCH(D106,ROM_ALUControl!$B$2:$B$20,0)),"00")))))</f>
        <v/>
      </c>
    </row>
    <row r="107">
      <c r="A107" s="2" t="n">
        <v>105</v>
      </c>
      <c r="B107" s="2">
        <f>DEC2HEX(A107,2)</f>
        <v/>
      </c>
      <c r="C107" s="2">
        <f>INT(A107/64)</f>
        <v/>
      </c>
      <c r="D107" s="2">
        <f>MOD(A107,64)</f>
        <v/>
      </c>
      <c r="E107" s="2">
        <f>IF(AND(D107=8,OR(C107=1,C107=2)),IFERROR(INDEX(ROM_ALUControl!$J$2:$J$20,MATCH(D107,ROM_ALUControl!$B$2:$B$20,0)),"00"),IF(C107=0,"08",IF(C107=1,"0a",IF(C107=3,"04",IFERROR(INDEX(ROM_ALUControl!$J$2:$J$20,MATCH(D107,ROM_ALUControl!$B$2:$B$20,0)),"00")))))</f>
        <v/>
      </c>
    </row>
    <row r="108">
      <c r="A108" s="2" t="n">
        <v>106</v>
      </c>
      <c r="B108" s="2">
        <f>DEC2HEX(A108,2)</f>
        <v/>
      </c>
      <c r="C108" s="2">
        <f>INT(A108/64)</f>
        <v/>
      </c>
      <c r="D108" s="2">
        <f>MOD(A108,64)</f>
        <v/>
      </c>
      <c r="E108" s="2">
        <f>IF(AND(D108=8,OR(C108=1,C108=2)),IFERROR(INDEX(ROM_ALUControl!$J$2:$J$20,MATCH(D108,ROM_ALUControl!$B$2:$B$20,0)),"00"),IF(C108=0,"08",IF(C108=1,"0a",IF(C108=3,"04",IFERROR(INDEX(ROM_ALUControl!$J$2:$J$20,MATCH(D108,ROM_ALUControl!$B$2:$B$20,0)),"00")))))</f>
        <v/>
      </c>
    </row>
    <row r="109">
      <c r="A109" s="2" t="n">
        <v>107</v>
      </c>
      <c r="B109" s="2">
        <f>DEC2HEX(A109,2)</f>
        <v/>
      </c>
      <c r="C109" s="2">
        <f>INT(A109/64)</f>
        <v/>
      </c>
      <c r="D109" s="2">
        <f>MOD(A109,64)</f>
        <v/>
      </c>
      <c r="E109" s="2">
        <f>IF(AND(D109=8,OR(C109=1,C109=2)),IFERROR(INDEX(ROM_ALUControl!$J$2:$J$20,MATCH(D109,ROM_ALUControl!$B$2:$B$20,0)),"00"),IF(C109=0,"08",IF(C109=1,"0a",IF(C109=3,"04",IFERROR(INDEX(ROM_ALUControl!$J$2:$J$20,MATCH(D109,ROM_ALUControl!$B$2:$B$20,0)),"00")))))</f>
        <v/>
      </c>
    </row>
    <row r="110">
      <c r="A110" s="2" t="n">
        <v>108</v>
      </c>
      <c r="B110" s="2">
        <f>DEC2HEX(A110,2)</f>
        <v/>
      </c>
      <c r="C110" s="2">
        <f>INT(A110/64)</f>
        <v/>
      </c>
      <c r="D110" s="2">
        <f>MOD(A110,64)</f>
        <v/>
      </c>
      <c r="E110" s="2">
        <f>IF(AND(D110=8,OR(C110=1,C110=2)),IFERROR(INDEX(ROM_ALUControl!$J$2:$J$20,MATCH(D110,ROM_ALUControl!$B$2:$B$20,0)),"00"),IF(C110=0,"08",IF(C110=1,"0a",IF(C110=3,"04",IFERROR(INDEX(ROM_ALUControl!$J$2:$J$20,MATCH(D110,ROM_ALUControl!$B$2:$B$20,0)),"00")))))</f>
        <v/>
      </c>
    </row>
    <row r="111">
      <c r="A111" s="2" t="n">
        <v>109</v>
      </c>
      <c r="B111" s="2">
        <f>DEC2HEX(A111,2)</f>
        <v/>
      </c>
      <c r="C111" s="2">
        <f>INT(A111/64)</f>
        <v/>
      </c>
      <c r="D111" s="2">
        <f>MOD(A111,64)</f>
        <v/>
      </c>
      <c r="E111" s="2">
        <f>IF(AND(D111=8,OR(C111=1,C111=2)),IFERROR(INDEX(ROM_ALUControl!$J$2:$J$20,MATCH(D111,ROM_ALUControl!$B$2:$B$20,0)),"00"),IF(C111=0,"08",IF(C111=1,"0a",IF(C111=3,"04",IFERROR(INDEX(ROM_ALUControl!$J$2:$J$20,MATCH(D111,ROM_ALUControl!$B$2:$B$20,0)),"00")))))</f>
        <v/>
      </c>
    </row>
    <row r="112">
      <c r="A112" s="2" t="n">
        <v>110</v>
      </c>
      <c r="B112" s="2">
        <f>DEC2HEX(A112,2)</f>
        <v/>
      </c>
      <c r="C112" s="2">
        <f>INT(A112/64)</f>
        <v/>
      </c>
      <c r="D112" s="2">
        <f>MOD(A112,64)</f>
        <v/>
      </c>
      <c r="E112" s="2">
        <f>IF(AND(D112=8,OR(C112=1,C112=2)),IFERROR(INDEX(ROM_ALUControl!$J$2:$J$20,MATCH(D112,ROM_ALUControl!$B$2:$B$20,0)),"00"),IF(C112=0,"08",IF(C112=1,"0a",IF(C112=3,"04",IFERROR(INDEX(ROM_ALUControl!$J$2:$J$20,MATCH(D112,ROM_ALUControl!$B$2:$B$20,0)),"00")))))</f>
        <v/>
      </c>
    </row>
    <row r="113">
      <c r="A113" s="2" t="n">
        <v>111</v>
      </c>
      <c r="B113" s="2">
        <f>DEC2HEX(A113,2)</f>
        <v/>
      </c>
      <c r="C113" s="2">
        <f>INT(A113/64)</f>
        <v/>
      </c>
      <c r="D113" s="2">
        <f>MOD(A113,64)</f>
        <v/>
      </c>
      <c r="E113" s="2">
        <f>IF(AND(D113=8,OR(C113=1,C113=2)),IFERROR(INDEX(ROM_ALUControl!$J$2:$J$20,MATCH(D113,ROM_ALUControl!$B$2:$B$20,0)),"00"),IF(C113=0,"08",IF(C113=1,"0a",IF(C113=3,"04",IFERROR(INDEX(ROM_ALUControl!$J$2:$J$20,MATCH(D113,ROM_ALUControl!$B$2:$B$20,0)),"00")))))</f>
        <v/>
      </c>
    </row>
    <row r="114">
      <c r="A114" s="2" t="n">
        <v>112</v>
      </c>
      <c r="B114" s="2">
        <f>DEC2HEX(A114,2)</f>
        <v/>
      </c>
      <c r="C114" s="2">
        <f>INT(A114/64)</f>
        <v/>
      </c>
      <c r="D114" s="2">
        <f>MOD(A114,64)</f>
        <v/>
      </c>
      <c r="E114" s="2">
        <f>IF(AND(D114=8,OR(C114=1,C114=2)),IFERROR(INDEX(ROM_ALUControl!$J$2:$J$20,MATCH(D114,ROM_ALUControl!$B$2:$B$20,0)),"00"),IF(C114=0,"08",IF(C114=1,"0a",IF(C114=3,"04",IFERROR(INDEX(ROM_ALUControl!$J$2:$J$20,MATCH(D114,ROM_ALUControl!$B$2:$B$20,0)),"00")))))</f>
        <v/>
      </c>
    </row>
    <row r="115">
      <c r="A115" s="2" t="n">
        <v>113</v>
      </c>
      <c r="B115" s="2">
        <f>DEC2HEX(A115,2)</f>
        <v/>
      </c>
      <c r="C115" s="2">
        <f>INT(A115/64)</f>
        <v/>
      </c>
      <c r="D115" s="2">
        <f>MOD(A115,64)</f>
        <v/>
      </c>
      <c r="E115" s="2">
        <f>IF(AND(D115=8,OR(C115=1,C115=2)),IFERROR(INDEX(ROM_ALUControl!$J$2:$J$20,MATCH(D115,ROM_ALUControl!$B$2:$B$20,0)),"00"),IF(C115=0,"08",IF(C115=1,"0a",IF(C115=3,"04",IFERROR(INDEX(ROM_ALUControl!$J$2:$J$20,MATCH(D115,ROM_ALUControl!$B$2:$B$20,0)),"00")))))</f>
        <v/>
      </c>
    </row>
    <row r="116">
      <c r="A116" s="2" t="n">
        <v>114</v>
      </c>
      <c r="B116" s="2">
        <f>DEC2HEX(A116,2)</f>
        <v/>
      </c>
      <c r="C116" s="2">
        <f>INT(A116/64)</f>
        <v/>
      </c>
      <c r="D116" s="2">
        <f>MOD(A116,64)</f>
        <v/>
      </c>
      <c r="E116" s="2">
        <f>IF(AND(D116=8,OR(C116=1,C116=2)),IFERROR(INDEX(ROM_ALUControl!$J$2:$J$20,MATCH(D116,ROM_ALUControl!$B$2:$B$20,0)),"00"),IF(C116=0,"08",IF(C116=1,"0a",IF(C116=3,"04",IFERROR(INDEX(ROM_ALUControl!$J$2:$J$20,MATCH(D116,ROM_ALUControl!$B$2:$B$20,0)),"00")))))</f>
        <v/>
      </c>
    </row>
    <row r="117">
      <c r="A117" s="2" t="n">
        <v>115</v>
      </c>
      <c r="B117" s="2">
        <f>DEC2HEX(A117,2)</f>
        <v/>
      </c>
      <c r="C117" s="2">
        <f>INT(A117/64)</f>
        <v/>
      </c>
      <c r="D117" s="2">
        <f>MOD(A117,64)</f>
        <v/>
      </c>
      <c r="E117" s="2">
        <f>IF(AND(D117=8,OR(C117=1,C117=2)),IFERROR(INDEX(ROM_ALUControl!$J$2:$J$20,MATCH(D117,ROM_ALUControl!$B$2:$B$20,0)),"00"),IF(C117=0,"08",IF(C117=1,"0a",IF(C117=3,"04",IFERROR(INDEX(ROM_ALUControl!$J$2:$J$20,MATCH(D117,ROM_ALUControl!$B$2:$B$20,0)),"00")))))</f>
        <v/>
      </c>
    </row>
    <row r="118">
      <c r="A118" s="2" t="n">
        <v>116</v>
      </c>
      <c r="B118" s="2">
        <f>DEC2HEX(A118,2)</f>
        <v/>
      </c>
      <c r="C118" s="2">
        <f>INT(A118/64)</f>
        <v/>
      </c>
      <c r="D118" s="2">
        <f>MOD(A118,64)</f>
        <v/>
      </c>
      <c r="E118" s="2">
        <f>IF(AND(D118=8,OR(C118=1,C118=2)),IFERROR(INDEX(ROM_ALUControl!$J$2:$J$20,MATCH(D118,ROM_ALUControl!$B$2:$B$20,0)),"00"),IF(C118=0,"08",IF(C118=1,"0a",IF(C118=3,"04",IFERROR(INDEX(ROM_ALUControl!$J$2:$J$20,MATCH(D118,ROM_ALUControl!$B$2:$B$20,0)),"00")))))</f>
        <v/>
      </c>
    </row>
    <row r="119">
      <c r="A119" s="2" t="n">
        <v>117</v>
      </c>
      <c r="B119" s="2">
        <f>DEC2HEX(A119,2)</f>
        <v/>
      </c>
      <c r="C119" s="2">
        <f>INT(A119/64)</f>
        <v/>
      </c>
      <c r="D119" s="2">
        <f>MOD(A119,64)</f>
        <v/>
      </c>
      <c r="E119" s="2">
        <f>IF(AND(D119=8,OR(C119=1,C119=2)),IFERROR(INDEX(ROM_ALUControl!$J$2:$J$20,MATCH(D119,ROM_ALUControl!$B$2:$B$20,0)),"00"),IF(C119=0,"08",IF(C119=1,"0a",IF(C119=3,"04",IFERROR(INDEX(ROM_ALUControl!$J$2:$J$20,MATCH(D119,ROM_ALUControl!$B$2:$B$20,0)),"00")))))</f>
        <v/>
      </c>
    </row>
    <row r="120">
      <c r="A120" s="2" t="n">
        <v>118</v>
      </c>
      <c r="B120" s="2">
        <f>DEC2HEX(A120,2)</f>
        <v/>
      </c>
      <c r="C120" s="2">
        <f>INT(A120/64)</f>
        <v/>
      </c>
      <c r="D120" s="2">
        <f>MOD(A120,64)</f>
        <v/>
      </c>
      <c r="E120" s="2">
        <f>IF(AND(D120=8,OR(C120=1,C120=2)),IFERROR(INDEX(ROM_ALUControl!$J$2:$J$20,MATCH(D120,ROM_ALUControl!$B$2:$B$20,0)),"00"),IF(C120=0,"08",IF(C120=1,"0a",IF(C120=3,"04",IFERROR(INDEX(ROM_ALUControl!$J$2:$J$20,MATCH(D120,ROM_ALUControl!$B$2:$B$20,0)),"00")))))</f>
        <v/>
      </c>
    </row>
    <row r="121">
      <c r="A121" s="2" t="n">
        <v>119</v>
      </c>
      <c r="B121" s="2">
        <f>DEC2HEX(A121,2)</f>
        <v/>
      </c>
      <c r="C121" s="2">
        <f>INT(A121/64)</f>
        <v/>
      </c>
      <c r="D121" s="2">
        <f>MOD(A121,64)</f>
        <v/>
      </c>
      <c r="E121" s="2">
        <f>IF(AND(D121=8,OR(C121=1,C121=2)),IFERROR(INDEX(ROM_ALUControl!$J$2:$J$20,MATCH(D121,ROM_ALUControl!$B$2:$B$20,0)),"00"),IF(C121=0,"08",IF(C121=1,"0a",IF(C121=3,"04",IFERROR(INDEX(ROM_ALUControl!$J$2:$J$20,MATCH(D121,ROM_ALUControl!$B$2:$B$20,0)),"00")))))</f>
        <v/>
      </c>
    </row>
    <row r="122">
      <c r="A122" s="2" t="n">
        <v>120</v>
      </c>
      <c r="B122" s="2">
        <f>DEC2HEX(A122,2)</f>
        <v/>
      </c>
      <c r="C122" s="2">
        <f>INT(A122/64)</f>
        <v/>
      </c>
      <c r="D122" s="2">
        <f>MOD(A122,64)</f>
        <v/>
      </c>
      <c r="E122" s="2">
        <f>IF(AND(D122=8,OR(C122=1,C122=2)),IFERROR(INDEX(ROM_ALUControl!$J$2:$J$20,MATCH(D122,ROM_ALUControl!$B$2:$B$20,0)),"00"),IF(C122=0,"08",IF(C122=1,"0a",IF(C122=3,"04",IFERROR(INDEX(ROM_ALUControl!$J$2:$J$20,MATCH(D122,ROM_ALUControl!$B$2:$B$20,0)),"00")))))</f>
        <v/>
      </c>
    </row>
    <row r="123">
      <c r="A123" s="2" t="n">
        <v>121</v>
      </c>
      <c r="B123" s="2">
        <f>DEC2HEX(A123,2)</f>
        <v/>
      </c>
      <c r="C123" s="2">
        <f>INT(A123/64)</f>
        <v/>
      </c>
      <c r="D123" s="2">
        <f>MOD(A123,64)</f>
        <v/>
      </c>
      <c r="E123" s="2">
        <f>IF(AND(D123=8,OR(C123=1,C123=2)),IFERROR(INDEX(ROM_ALUControl!$J$2:$J$20,MATCH(D123,ROM_ALUControl!$B$2:$B$20,0)),"00"),IF(C123=0,"08",IF(C123=1,"0a",IF(C123=3,"04",IFERROR(INDEX(ROM_ALUControl!$J$2:$J$20,MATCH(D123,ROM_ALUControl!$B$2:$B$20,0)),"00")))))</f>
        <v/>
      </c>
    </row>
    <row r="124">
      <c r="A124" s="2" t="n">
        <v>122</v>
      </c>
      <c r="B124" s="2">
        <f>DEC2HEX(A124,2)</f>
        <v/>
      </c>
      <c r="C124" s="2">
        <f>INT(A124/64)</f>
        <v/>
      </c>
      <c r="D124" s="2">
        <f>MOD(A124,64)</f>
        <v/>
      </c>
      <c r="E124" s="2">
        <f>IF(AND(D124=8,OR(C124=1,C124=2)),IFERROR(INDEX(ROM_ALUControl!$J$2:$J$20,MATCH(D124,ROM_ALUControl!$B$2:$B$20,0)),"00"),IF(C124=0,"08",IF(C124=1,"0a",IF(C124=3,"04",IFERROR(INDEX(ROM_ALUControl!$J$2:$J$20,MATCH(D124,ROM_ALUControl!$B$2:$B$20,0)),"00")))))</f>
        <v/>
      </c>
    </row>
    <row r="125">
      <c r="A125" s="2" t="n">
        <v>123</v>
      </c>
      <c r="B125" s="2">
        <f>DEC2HEX(A125,2)</f>
        <v/>
      </c>
      <c r="C125" s="2">
        <f>INT(A125/64)</f>
        <v/>
      </c>
      <c r="D125" s="2">
        <f>MOD(A125,64)</f>
        <v/>
      </c>
      <c r="E125" s="2">
        <f>IF(AND(D125=8,OR(C125=1,C125=2)),IFERROR(INDEX(ROM_ALUControl!$J$2:$J$20,MATCH(D125,ROM_ALUControl!$B$2:$B$20,0)),"00"),IF(C125=0,"08",IF(C125=1,"0a",IF(C125=3,"04",IFERROR(INDEX(ROM_ALUControl!$J$2:$J$20,MATCH(D125,ROM_ALUControl!$B$2:$B$20,0)),"00")))))</f>
        <v/>
      </c>
    </row>
    <row r="126">
      <c r="A126" s="2" t="n">
        <v>124</v>
      </c>
      <c r="B126" s="2">
        <f>DEC2HEX(A126,2)</f>
        <v/>
      </c>
      <c r="C126" s="2">
        <f>INT(A126/64)</f>
        <v/>
      </c>
      <c r="D126" s="2">
        <f>MOD(A126,64)</f>
        <v/>
      </c>
      <c r="E126" s="2">
        <f>IF(AND(D126=8,OR(C126=1,C126=2)),IFERROR(INDEX(ROM_ALUControl!$J$2:$J$20,MATCH(D126,ROM_ALUControl!$B$2:$B$20,0)),"00"),IF(C126=0,"08",IF(C126=1,"0a",IF(C126=3,"04",IFERROR(INDEX(ROM_ALUControl!$J$2:$J$20,MATCH(D126,ROM_ALUControl!$B$2:$B$20,0)),"00")))))</f>
        <v/>
      </c>
    </row>
    <row r="127">
      <c r="A127" s="2" t="n">
        <v>125</v>
      </c>
      <c r="B127" s="2">
        <f>DEC2HEX(A127,2)</f>
        <v/>
      </c>
      <c r="C127" s="2">
        <f>INT(A127/64)</f>
        <v/>
      </c>
      <c r="D127" s="2">
        <f>MOD(A127,64)</f>
        <v/>
      </c>
      <c r="E127" s="2">
        <f>IF(AND(D127=8,OR(C127=1,C127=2)),IFERROR(INDEX(ROM_ALUControl!$J$2:$J$20,MATCH(D127,ROM_ALUControl!$B$2:$B$20,0)),"00"),IF(C127=0,"08",IF(C127=1,"0a",IF(C127=3,"04",IFERROR(INDEX(ROM_ALUControl!$J$2:$J$20,MATCH(D127,ROM_ALUControl!$B$2:$B$20,0)),"00")))))</f>
        <v/>
      </c>
    </row>
    <row r="128">
      <c r="A128" s="2" t="n">
        <v>126</v>
      </c>
      <c r="B128" s="2">
        <f>DEC2HEX(A128,2)</f>
        <v/>
      </c>
      <c r="C128" s="2">
        <f>INT(A128/64)</f>
        <v/>
      </c>
      <c r="D128" s="2">
        <f>MOD(A128,64)</f>
        <v/>
      </c>
      <c r="E128" s="2">
        <f>IF(AND(D128=8,OR(C128=1,C128=2)),IFERROR(INDEX(ROM_ALUControl!$J$2:$J$20,MATCH(D128,ROM_ALUControl!$B$2:$B$20,0)),"00"),IF(C128=0,"08",IF(C128=1,"0a",IF(C128=3,"04",IFERROR(INDEX(ROM_ALUControl!$J$2:$J$20,MATCH(D128,ROM_ALUControl!$B$2:$B$20,0)),"00")))))</f>
        <v/>
      </c>
    </row>
    <row r="129">
      <c r="A129" s="2" t="n">
        <v>127</v>
      </c>
      <c r="B129" s="2">
        <f>DEC2HEX(A129,2)</f>
        <v/>
      </c>
      <c r="C129" s="2">
        <f>INT(A129/64)</f>
        <v/>
      </c>
      <c r="D129" s="2">
        <f>MOD(A129,64)</f>
        <v/>
      </c>
      <c r="E129" s="2">
        <f>IF(AND(D129=8,OR(C129=1,C129=2)),IFERROR(INDEX(ROM_ALUControl!$J$2:$J$20,MATCH(D129,ROM_ALUControl!$B$2:$B$20,0)),"00"),IF(C129=0,"08",IF(C129=1,"0a",IF(C129=3,"04",IFERROR(INDEX(ROM_ALUControl!$J$2:$J$20,MATCH(D129,ROM_ALUControl!$B$2:$B$20,0)),"00")))))</f>
        <v/>
      </c>
    </row>
    <row r="130">
      <c r="A130" s="2" t="n">
        <v>128</v>
      </c>
      <c r="B130" s="2">
        <f>DEC2HEX(A130,2)</f>
        <v/>
      </c>
      <c r="C130" s="2">
        <f>INT(A130/64)</f>
        <v/>
      </c>
      <c r="D130" s="2">
        <f>MOD(A130,64)</f>
        <v/>
      </c>
      <c r="E130" s="2">
        <f>IF(AND(D130=8,OR(C130=1,C130=2)),IFERROR(INDEX(ROM_ALUControl!$J$2:$J$20,MATCH(D130,ROM_ALUControl!$B$2:$B$20,0)),"00"),IF(C130=0,"08",IF(C130=1,"0a",IF(C130=3,"04",IFERROR(INDEX(ROM_ALUControl!$J$2:$J$20,MATCH(D130,ROM_ALUControl!$B$2:$B$20,0)),"00")))))</f>
        <v/>
      </c>
    </row>
    <row r="131">
      <c r="A131" s="2" t="n">
        <v>129</v>
      </c>
      <c r="B131" s="2">
        <f>DEC2HEX(A131,2)</f>
        <v/>
      </c>
      <c r="C131" s="2">
        <f>INT(A131/64)</f>
        <v/>
      </c>
      <c r="D131" s="2">
        <f>MOD(A131,64)</f>
        <v/>
      </c>
      <c r="E131" s="2">
        <f>IF(AND(D131=8,OR(C131=1,C131=2)),IFERROR(INDEX(ROM_ALUControl!$J$2:$J$20,MATCH(D131,ROM_ALUControl!$B$2:$B$20,0)),"00"),IF(C131=0,"08",IF(C131=1,"0a",IF(C131=3,"04",IFERROR(INDEX(ROM_ALUControl!$J$2:$J$20,MATCH(D131,ROM_ALUControl!$B$2:$B$20,0)),"00")))))</f>
        <v/>
      </c>
    </row>
    <row r="132">
      <c r="A132" s="2" t="n">
        <v>130</v>
      </c>
      <c r="B132" s="2">
        <f>DEC2HEX(A132,2)</f>
        <v/>
      </c>
      <c r="C132" s="2">
        <f>INT(A132/64)</f>
        <v/>
      </c>
      <c r="D132" s="2">
        <f>MOD(A132,64)</f>
        <v/>
      </c>
      <c r="E132" s="2">
        <f>IF(AND(D132=8,OR(C132=1,C132=2)),IFERROR(INDEX(ROM_ALUControl!$J$2:$J$20,MATCH(D132,ROM_ALUControl!$B$2:$B$20,0)),"00"),IF(C132=0,"08",IF(C132=1,"0a",IF(C132=3,"04",IFERROR(INDEX(ROM_ALUControl!$J$2:$J$20,MATCH(D132,ROM_ALUControl!$B$2:$B$20,0)),"00")))))</f>
        <v/>
      </c>
    </row>
    <row r="133">
      <c r="A133" s="2" t="n">
        <v>131</v>
      </c>
      <c r="B133" s="2">
        <f>DEC2HEX(A133,2)</f>
        <v/>
      </c>
      <c r="C133" s="2">
        <f>INT(A133/64)</f>
        <v/>
      </c>
      <c r="D133" s="2">
        <f>MOD(A133,64)</f>
        <v/>
      </c>
      <c r="E133" s="2">
        <f>IF(AND(D133=8,OR(C133=1,C133=2)),IFERROR(INDEX(ROM_ALUControl!$J$2:$J$20,MATCH(D133,ROM_ALUControl!$B$2:$B$20,0)),"00"),IF(C133=0,"08",IF(C133=1,"0a",IF(C133=3,"04",IFERROR(INDEX(ROM_ALUControl!$J$2:$J$20,MATCH(D133,ROM_ALUControl!$B$2:$B$20,0)),"00")))))</f>
        <v/>
      </c>
    </row>
    <row r="134">
      <c r="A134" s="2" t="n">
        <v>132</v>
      </c>
      <c r="B134" s="2">
        <f>DEC2HEX(A134,2)</f>
        <v/>
      </c>
      <c r="C134" s="2">
        <f>INT(A134/64)</f>
        <v/>
      </c>
      <c r="D134" s="2">
        <f>MOD(A134,64)</f>
        <v/>
      </c>
      <c r="E134" s="2">
        <f>IF(AND(D134=8,OR(C134=1,C134=2)),IFERROR(INDEX(ROM_ALUControl!$J$2:$J$20,MATCH(D134,ROM_ALUControl!$B$2:$B$20,0)),"00"),IF(C134=0,"08",IF(C134=1,"0a",IF(C134=3,"04",IFERROR(INDEX(ROM_ALUControl!$J$2:$J$20,MATCH(D134,ROM_ALUControl!$B$2:$B$20,0)),"00")))))</f>
        <v/>
      </c>
    </row>
    <row r="135">
      <c r="A135" s="2" t="n">
        <v>133</v>
      </c>
      <c r="B135" s="2">
        <f>DEC2HEX(A135,2)</f>
        <v/>
      </c>
      <c r="C135" s="2">
        <f>INT(A135/64)</f>
        <v/>
      </c>
      <c r="D135" s="2">
        <f>MOD(A135,64)</f>
        <v/>
      </c>
      <c r="E135" s="2">
        <f>IF(AND(D135=8,OR(C135=1,C135=2)),IFERROR(INDEX(ROM_ALUControl!$J$2:$J$20,MATCH(D135,ROM_ALUControl!$B$2:$B$20,0)),"00"),IF(C135=0,"08",IF(C135=1,"0a",IF(C135=3,"04",IFERROR(INDEX(ROM_ALUControl!$J$2:$J$20,MATCH(D135,ROM_ALUControl!$B$2:$B$20,0)),"00")))))</f>
        <v/>
      </c>
    </row>
    <row r="136">
      <c r="A136" s="2" t="n">
        <v>134</v>
      </c>
      <c r="B136" s="2">
        <f>DEC2HEX(A136,2)</f>
        <v/>
      </c>
      <c r="C136" s="2">
        <f>INT(A136/64)</f>
        <v/>
      </c>
      <c r="D136" s="2">
        <f>MOD(A136,64)</f>
        <v/>
      </c>
      <c r="E136" s="2">
        <f>IF(AND(D136=8,OR(C136=1,C136=2)),IFERROR(INDEX(ROM_ALUControl!$J$2:$J$20,MATCH(D136,ROM_ALUControl!$B$2:$B$20,0)),"00"),IF(C136=0,"08",IF(C136=1,"0a",IF(C136=3,"04",IFERROR(INDEX(ROM_ALUControl!$J$2:$J$20,MATCH(D136,ROM_ALUControl!$B$2:$B$20,0)),"00")))))</f>
        <v/>
      </c>
    </row>
    <row r="137">
      <c r="A137" s="2" t="n">
        <v>135</v>
      </c>
      <c r="B137" s="2">
        <f>DEC2HEX(A137,2)</f>
        <v/>
      </c>
      <c r="C137" s="2">
        <f>INT(A137/64)</f>
        <v/>
      </c>
      <c r="D137" s="2">
        <f>MOD(A137,64)</f>
        <v/>
      </c>
      <c r="E137" s="2">
        <f>IF(AND(D137=8,OR(C137=1,C137=2)),IFERROR(INDEX(ROM_ALUControl!$J$2:$J$20,MATCH(D137,ROM_ALUControl!$B$2:$B$20,0)),"00"),IF(C137=0,"08",IF(C137=1,"0a",IF(C137=3,"04",IFERROR(INDEX(ROM_ALUControl!$J$2:$J$20,MATCH(D137,ROM_ALUControl!$B$2:$B$20,0)),"00")))))</f>
        <v/>
      </c>
    </row>
    <row r="138">
      <c r="A138" s="2" t="n">
        <v>136</v>
      </c>
      <c r="B138" s="2">
        <f>DEC2HEX(A138,2)</f>
        <v/>
      </c>
      <c r="C138" s="2">
        <f>INT(A138/64)</f>
        <v/>
      </c>
      <c r="D138" s="2">
        <f>MOD(A138,64)</f>
        <v/>
      </c>
      <c r="E138" s="2">
        <f>IF(AND(D138=8,OR(C138=1,C138=2)),IFERROR(INDEX(ROM_ALUControl!$J$2:$J$20,MATCH(D138,ROM_ALUControl!$B$2:$B$20,0)),"00"),IF(C138=0,"08",IF(C138=1,"0a",IF(C138=3,"04",IFERROR(INDEX(ROM_ALUControl!$J$2:$J$20,MATCH(D138,ROM_ALUControl!$B$2:$B$20,0)),"00")))))</f>
        <v/>
      </c>
    </row>
    <row r="139">
      <c r="A139" s="2" t="n">
        <v>137</v>
      </c>
      <c r="B139" s="2">
        <f>DEC2HEX(A139,2)</f>
        <v/>
      </c>
      <c r="C139" s="2">
        <f>INT(A139/64)</f>
        <v/>
      </c>
      <c r="D139" s="2">
        <f>MOD(A139,64)</f>
        <v/>
      </c>
      <c r="E139" s="2">
        <f>IF(AND(D139=8,OR(C139=1,C139=2)),IFERROR(INDEX(ROM_ALUControl!$J$2:$J$20,MATCH(D139,ROM_ALUControl!$B$2:$B$20,0)),"00"),IF(C139=0,"08",IF(C139=1,"0a",IF(C139=3,"04",IFERROR(INDEX(ROM_ALUControl!$J$2:$J$20,MATCH(D139,ROM_ALUControl!$B$2:$B$20,0)),"00")))))</f>
        <v/>
      </c>
    </row>
    <row r="140">
      <c r="A140" s="2" t="n">
        <v>138</v>
      </c>
      <c r="B140" s="2">
        <f>DEC2HEX(A140,2)</f>
        <v/>
      </c>
      <c r="C140" s="2">
        <f>INT(A140/64)</f>
        <v/>
      </c>
      <c r="D140" s="2">
        <f>MOD(A140,64)</f>
        <v/>
      </c>
      <c r="E140" s="2">
        <f>IF(AND(D140=8,OR(C140=1,C140=2)),IFERROR(INDEX(ROM_ALUControl!$J$2:$J$20,MATCH(D140,ROM_ALUControl!$B$2:$B$20,0)),"00"),IF(C140=0,"08",IF(C140=1,"0a",IF(C140=3,"04",IFERROR(INDEX(ROM_ALUControl!$J$2:$J$20,MATCH(D140,ROM_ALUControl!$B$2:$B$20,0)),"00")))))</f>
        <v/>
      </c>
    </row>
    <row r="141">
      <c r="A141" s="2" t="n">
        <v>139</v>
      </c>
      <c r="B141" s="2">
        <f>DEC2HEX(A141,2)</f>
        <v/>
      </c>
      <c r="C141" s="2">
        <f>INT(A141/64)</f>
        <v/>
      </c>
      <c r="D141" s="2">
        <f>MOD(A141,64)</f>
        <v/>
      </c>
      <c r="E141" s="2">
        <f>IF(AND(D141=8,OR(C141=1,C141=2)),IFERROR(INDEX(ROM_ALUControl!$J$2:$J$20,MATCH(D141,ROM_ALUControl!$B$2:$B$20,0)),"00"),IF(C141=0,"08",IF(C141=1,"0a",IF(C141=3,"04",IFERROR(INDEX(ROM_ALUControl!$J$2:$J$20,MATCH(D141,ROM_ALUControl!$B$2:$B$20,0)),"00")))))</f>
        <v/>
      </c>
    </row>
    <row r="142">
      <c r="A142" s="2" t="n">
        <v>140</v>
      </c>
      <c r="B142" s="2">
        <f>DEC2HEX(A142,2)</f>
        <v/>
      </c>
      <c r="C142" s="2">
        <f>INT(A142/64)</f>
        <v/>
      </c>
      <c r="D142" s="2">
        <f>MOD(A142,64)</f>
        <v/>
      </c>
      <c r="E142" s="2">
        <f>IF(AND(D142=8,OR(C142=1,C142=2)),IFERROR(INDEX(ROM_ALUControl!$J$2:$J$20,MATCH(D142,ROM_ALUControl!$B$2:$B$20,0)),"00"),IF(C142=0,"08",IF(C142=1,"0a",IF(C142=3,"04",IFERROR(INDEX(ROM_ALUControl!$J$2:$J$20,MATCH(D142,ROM_ALUControl!$B$2:$B$20,0)),"00")))))</f>
        <v/>
      </c>
    </row>
    <row r="143">
      <c r="A143" s="2" t="n">
        <v>141</v>
      </c>
      <c r="B143" s="2">
        <f>DEC2HEX(A143,2)</f>
        <v/>
      </c>
      <c r="C143" s="2">
        <f>INT(A143/64)</f>
        <v/>
      </c>
      <c r="D143" s="2">
        <f>MOD(A143,64)</f>
        <v/>
      </c>
      <c r="E143" s="2">
        <f>IF(AND(D143=8,OR(C143=1,C143=2)),IFERROR(INDEX(ROM_ALUControl!$J$2:$J$20,MATCH(D143,ROM_ALUControl!$B$2:$B$20,0)),"00"),IF(C143=0,"08",IF(C143=1,"0a",IF(C143=3,"04",IFERROR(INDEX(ROM_ALUControl!$J$2:$J$20,MATCH(D143,ROM_ALUControl!$B$2:$B$20,0)),"00")))))</f>
        <v/>
      </c>
    </row>
    <row r="144">
      <c r="A144" s="2" t="n">
        <v>142</v>
      </c>
      <c r="B144" s="2">
        <f>DEC2HEX(A144,2)</f>
        <v/>
      </c>
      <c r="C144" s="2">
        <f>INT(A144/64)</f>
        <v/>
      </c>
      <c r="D144" s="2">
        <f>MOD(A144,64)</f>
        <v/>
      </c>
      <c r="E144" s="2">
        <f>IF(AND(D144=8,OR(C144=1,C144=2)),IFERROR(INDEX(ROM_ALUControl!$J$2:$J$20,MATCH(D144,ROM_ALUControl!$B$2:$B$20,0)),"00"),IF(C144=0,"08",IF(C144=1,"0a",IF(C144=3,"04",IFERROR(INDEX(ROM_ALUControl!$J$2:$J$20,MATCH(D144,ROM_ALUControl!$B$2:$B$20,0)),"00")))))</f>
        <v/>
      </c>
    </row>
    <row r="145">
      <c r="A145" s="2" t="n">
        <v>143</v>
      </c>
      <c r="B145" s="2">
        <f>DEC2HEX(A145,2)</f>
        <v/>
      </c>
      <c r="C145" s="2">
        <f>INT(A145/64)</f>
        <v/>
      </c>
      <c r="D145" s="2">
        <f>MOD(A145,64)</f>
        <v/>
      </c>
      <c r="E145" s="2">
        <f>IF(AND(D145=8,OR(C145=1,C145=2)),IFERROR(INDEX(ROM_ALUControl!$J$2:$J$20,MATCH(D145,ROM_ALUControl!$B$2:$B$20,0)),"00"),IF(C145=0,"08",IF(C145=1,"0a",IF(C145=3,"04",IFERROR(INDEX(ROM_ALUControl!$J$2:$J$20,MATCH(D145,ROM_ALUControl!$B$2:$B$20,0)),"00")))))</f>
        <v/>
      </c>
    </row>
    <row r="146">
      <c r="A146" s="2" t="n">
        <v>144</v>
      </c>
      <c r="B146" s="2">
        <f>DEC2HEX(A146,2)</f>
        <v/>
      </c>
      <c r="C146" s="2">
        <f>INT(A146/64)</f>
        <v/>
      </c>
      <c r="D146" s="2">
        <f>MOD(A146,64)</f>
        <v/>
      </c>
      <c r="E146" s="2">
        <f>IF(AND(D146=8,OR(C146=1,C146=2)),IFERROR(INDEX(ROM_ALUControl!$J$2:$J$20,MATCH(D146,ROM_ALUControl!$B$2:$B$20,0)),"00"),IF(C146=0,"08",IF(C146=1,"0a",IF(C146=3,"04",IFERROR(INDEX(ROM_ALUControl!$J$2:$J$20,MATCH(D146,ROM_ALUControl!$B$2:$B$20,0)),"00")))))</f>
        <v/>
      </c>
    </row>
    <row r="147">
      <c r="A147" s="2" t="n">
        <v>145</v>
      </c>
      <c r="B147" s="2">
        <f>DEC2HEX(A147,2)</f>
        <v/>
      </c>
      <c r="C147" s="2">
        <f>INT(A147/64)</f>
        <v/>
      </c>
      <c r="D147" s="2">
        <f>MOD(A147,64)</f>
        <v/>
      </c>
      <c r="E147" s="2">
        <f>IF(AND(D147=8,OR(C147=1,C147=2)),IFERROR(INDEX(ROM_ALUControl!$J$2:$J$20,MATCH(D147,ROM_ALUControl!$B$2:$B$20,0)),"00"),IF(C147=0,"08",IF(C147=1,"0a",IF(C147=3,"04",IFERROR(INDEX(ROM_ALUControl!$J$2:$J$20,MATCH(D147,ROM_ALUControl!$B$2:$B$20,0)),"00")))))</f>
        <v/>
      </c>
    </row>
    <row r="148">
      <c r="A148" s="2" t="n">
        <v>146</v>
      </c>
      <c r="B148" s="2">
        <f>DEC2HEX(A148,2)</f>
        <v/>
      </c>
      <c r="C148" s="2">
        <f>INT(A148/64)</f>
        <v/>
      </c>
      <c r="D148" s="2">
        <f>MOD(A148,64)</f>
        <v/>
      </c>
      <c r="E148" s="2">
        <f>IF(AND(D148=8,OR(C148=1,C148=2)),IFERROR(INDEX(ROM_ALUControl!$J$2:$J$20,MATCH(D148,ROM_ALUControl!$B$2:$B$20,0)),"00"),IF(C148=0,"08",IF(C148=1,"0a",IF(C148=3,"04",IFERROR(INDEX(ROM_ALUControl!$J$2:$J$20,MATCH(D148,ROM_ALUControl!$B$2:$B$20,0)),"00")))))</f>
        <v/>
      </c>
    </row>
    <row r="149">
      <c r="A149" s="2" t="n">
        <v>147</v>
      </c>
      <c r="B149" s="2">
        <f>DEC2HEX(A149,2)</f>
        <v/>
      </c>
      <c r="C149" s="2">
        <f>INT(A149/64)</f>
        <v/>
      </c>
      <c r="D149" s="2">
        <f>MOD(A149,64)</f>
        <v/>
      </c>
      <c r="E149" s="2">
        <f>IF(AND(D149=8,OR(C149=1,C149=2)),IFERROR(INDEX(ROM_ALUControl!$J$2:$J$20,MATCH(D149,ROM_ALUControl!$B$2:$B$20,0)),"00"),IF(C149=0,"08",IF(C149=1,"0a",IF(C149=3,"04",IFERROR(INDEX(ROM_ALUControl!$J$2:$J$20,MATCH(D149,ROM_ALUControl!$B$2:$B$20,0)),"00")))))</f>
        <v/>
      </c>
    </row>
    <row r="150">
      <c r="A150" s="2" t="n">
        <v>148</v>
      </c>
      <c r="B150" s="2">
        <f>DEC2HEX(A150,2)</f>
        <v/>
      </c>
      <c r="C150" s="2">
        <f>INT(A150/64)</f>
        <v/>
      </c>
      <c r="D150" s="2">
        <f>MOD(A150,64)</f>
        <v/>
      </c>
      <c r="E150" s="2">
        <f>IF(AND(D150=8,OR(C150=1,C150=2)),IFERROR(INDEX(ROM_ALUControl!$J$2:$J$20,MATCH(D150,ROM_ALUControl!$B$2:$B$20,0)),"00"),IF(C150=0,"08",IF(C150=1,"0a",IF(C150=3,"04",IFERROR(INDEX(ROM_ALUControl!$J$2:$J$20,MATCH(D150,ROM_ALUControl!$B$2:$B$20,0)),"00")))))</f>
        <v/>
      </c>
    </row>
    <row r="151">
      <c r="A151" s="2" t="n">
        <v>149</v>
      </c>
      <c r="B151" s="2">
        <f>DEC2HEX(A151,2)</f>
        <v/>
      </c>
      <c r="C151" s="2">
        <f>INT(A151/64)</f>
        <v/>
      </c>
      <c r="D151" s="2">
        <f>MOD(A151,64)</f>
        <v/>
      </c>
      <c r="E151" s="2">
        <f>IF(AND(D151=8,OR(C151=1,C151=2)),IFERROR(INDEX(ROM_ALUControl!$J$2:$J$20,MATCH(D151,ROM_ALUControl!$B$2:$B$20,0)),"00"),IF(C151=0,"08",IF(C151=1,"0a",IF(C151=3,"04",IFERROR(INDEX(ROM_ALUControl!$J$2:$J$20,MATCH(D151,ROM_ALUControl!$B$2:$B$20,0)),"00")))))</f>
        <v/>
      </c>
    </row>
    <row r="152">
      <c r="A152" s="2" t="n">
        <v>150</v>
      </c>
      <c r="B152" s="2">
        <f>DEC2HEX(A152,2)</f>
        <v/>
      </c>
      <c r="C152" s="2">
        <f>INT(A152/64)</f>
        <v/>
      </c>
      <c r="D152" s="2">
        <f>MOD(A152,64)</f>
        <v/>
      </c>
      <c r="E152" s="2">
        <f>IF(AND(D152=8,OR(C152=1,C152=2)),IFERROR(INDEX(ROM_ALUControl!$J$2:$J$20,MATCH(D152,ROM_ALUControl!$B$2:$B$20,0)),"00"),IF(C152=0,"08",IF(C152=1,"0a",IF(C152=3,"04",IFERROR(INDEX(ROM_ALUControl!$J$2:$J$20,MATCH(D152,ROM_ALUControl!$B$2:$B$20,0)),"00")))))</f>
        <v/>
      </c>
    </row>
    <row r="153">
      <c r="A153" s="2" t="n">
        <v>151</v>
      </c>
      <c r="B153" s="2">
        <f>DEC2HEX(A153,2)</f>
        <v/>
      </c>
      <c r="C153" s="2">
        <f>INT(A153/64)</f>
        <v/>
      </c>
      <c r="D153" s="2">
        <f>MOD(A153,64)</f>
        <v/>
      </c>
      <c r="E153" s="2">
        <f>IF(AND(D153=8,OR(C153=1,C153=2)),IFERROR(INDEX(ROM_ALUControl!$J$2:$J$20,MATCH(D153,ROM_ALUControl!$B$2:$B$20,0)),"00"),IF(C153=0,"08",IF(C153=1,"0a",IF(C153=3,"04",IFERROR(INDEX(ROM_ALUControl!$J$2:$J$20,MATCH(D153,ROM_ALUControl!$B$2:$B$20,0)),"00")))))</f>
        <v/>
      </c>
    </row>
    <row r="154">
      <c r="A154" s="2" t="n">
        <v>152</v>
      </c>
      <c r="B154" s="2">
        <f>DEC2HEX(A154,2)</f>
        <v/>
      </c>
      <c r="C154" s="2">
        <f>INT(A154/64)</f>
        <v/>
      </c>
      <c r="D154" s="2">
        <f>MOD(A154,64)</f>
        <v/>
      </c>
      <c r="E154" s="2">
        <f>IF(AND(D154=8,OR(C154=1,C154=2)),IFERROR(INDEX(ROM_ALUControl!$J$2:$J$20,MATCH(D154,ROM_ALUControl!$B$2:$B$20,0)),"00"),IF(C154=0,"08",IF(C154=1,"0a",IF(C154=3,"04",IFERROR(INDEX(ROM_ALUControl!$J$2:$J$20,MATCH(D154,ROM_ALUControl!$B$2:$B$20,0)),"00")))))</f>
        <v/>
      </c>
    </row>
    <row r="155">
      <c r="A155" s="2" t="n">
        <v>153</v>
      </c>
      <c r="B155" s="2">
        <f>DEC2HEX(A155,2)</f>
        <v/>
      </c>
      <c r="C155" s="2">
        <f>INT(A155/64)</f>
        <v/>
      </c>
      <c r="D155" s="2">
        <f>MOD(A155,64)</f>
        <v/>
      </c>
      <c r="E155" s="2">
        <f>IF(AND(D155=8,OR(C155=1,C155=2)),IFERROR(INDEX(ROM_ALUControl!$J$2:$J$20,MATCH(D155,ROM_ALUControl!$B$2:$B$20,0)),"00"),IF(C155=0,"08",IF(C155=1,"0a",IF(C155=3,"04",IFERROR(INDEX(ROM_ALUControl!$J$2:$J$20,MATCH(D155,ROM_ALUControl!$B$2:$B$20,0)),"00")))))</f>
        <v/>
      </c>
    </row>
    <row r="156">
      <c r="A156" s="2" t="n">
        <v>154</v>
      </c>
      <c r="B156" s="2">
        <f>DEC2HEX(A156,2)</f>
        <v/>
      </c>
      <c r="C156" s="2">
        <f>INT(A156/64)</f>
        <v/>
      </c>
      <c r="D156" s="2">
        <f>MOD(A156,64)</f>
        <v/>
      </c>
      <c r="E156" s="2">
        <f>IF(AND(D156=8,OR(C156=1,C156=2)),IFERROR(INDEX(ROM_ALUControl!$J$2:$J$20,MATCH(D156,ROM_ALUControl!$B$2:$B$20,0)),"00"),IF(C156=0,"08",IF(C156=1,"0a",IF(C156=3,"04",IFERROR(INDEX(ROM_ALUControl!$J$2:$J$20,MATCH(D156,ROM_ALUControl!$B$2:$B$20,0)),"00")))))</f>
        <v/>
      </c>
    </row>
    <row r="157">
      <c r="A157" s="2" t="n">
        <v>155</v>
      </c>
      <c r="B157" s="2">
        <f>DEC2HEX(A157,2)</f>
        <v/>
      </c>
      <c r="C157" s="2">
        <f>INT(A157/64)</f>
        <v/>
      </c>
      <c r="D157" s="2">
        <f>MOD(A157,64)</f>
        <v/>
      </c>
      <c r="E157" s="2">
        <f>IF(AND(D157=8,OR(C157=1,C157=2)),IFERROR(INDEX(ROM_ALUControl!$J$2:$J$20,MATCH(D157,ROM_ALUControl!$B$2:$B$20,0)),"00"),IF(C157=0,"08",IF(C157=1,"0a",IF(C157=3,"04",IFERROR(INDEX(ROM_ALUControl!$J$2:$J$20,MATCH(D157,ROM_ALUControl!$B$2:$B$20,0)),"00")))))</f>
        <v/>
      </c>
    </row>
    <row r="158">
      <c r="A158" s="2" t="n">
        <v>156</v>
      </c>
      <c r="B158" s="2">
        <f>DEC2HEX(A158,2)</f>
        <v/>
      </c>
      <c r="C158" s="2">
        <f>INT(A158/64)</f>
        <v/>
      </c>
      <c r="D158" s="2">
        <f>MOD(A158,64)</f>
        <v/>
      </c>
      <c r="E158" s="2">
        <f>IF(AND(D158=8,OR(C158=1,C158=2)),IFERROR(INDEX(ROM_ALUControl!$J$2:$J$20,MATCH(D158,ROM_ALUControl!$B$2:$B$20,0)),"00"),IF(C158=0,"08",IF(C158=1,"0a",IF(C158=3,"04",IFERROR(INDEX(ROM_ALUControl!$J$2:$J$20,MATCH(D158,ROM_ALUControl!$B$2:$B$20,0)),"00")))))</f>
        <v/>
      </c>
    </row>
    <row r="159">
      <c r="A159" s="2" t="n">
        <v>157</v>
      </c>
      <c r="B159" s="2">
        <f>DEC2HEX(A159,2)</f>
        <v/>
      </c>
      <c r="C159" s="2">
        <f>INT(A159/64)</f>
        <v/>
      </c>
      <c r="D159" s="2">
        <f>MOD(A159,64)</f>
        <v/>
      </c>
      <c r="E159" s="2">
        <f>IF(AND(D159=8,OR(C159=1,C159=2)),IFERROR(INDEX(ROM_ALUControl!$J$2:$J$20,MATCH(D159,ROM_ALUControl!$B$2:$B$20,0)),"00"),IF(C159=0,"08",IF(C159=1,"0a",IF(C159=3,"04",IFERROR(INDEX(ROM_ALUControl!$J$2:$J$20,MATCH(D159,ROM_ALUControl!$B$2:$B$20,0)),"00")))))</f>
        <v/>
      </c>
    </row>
    <row r="160">
      <c r="A160" s="2" t="n">
        <v>158</v>
      </c>
      <c r="B160" s="2">
        <f>DEC2HEX(A160,2)</f>
        <v/>
      </c>
      <c r="C160" s="2">
        <f>INT(A160/64)</f>
        <v/>
      </c>
      <c r="D160" s="2">
        <f>MOD(A160,64)</f>
        <v/>
      </c>
      <c r="E160" s="2">
        <f>IF(AND(D160=8,OR(C160=1,C160=2)),IFERROR(INDEX(ROM_ALUControl!$J$2:$J$20,MATCH(D160,ROM_ALUControl!$B$2:$B$20,0)),"00"),IF(C160=0,"08",IF(C160=1,"0a",IF(C160=3,"04",IFERROR(INDEX(ROM_ALUControl!$J$2:$J$20,MATCH(D160,ROM_ALUControl!$B$2:$B$20,0)),"00")))))</f>
        <v/>
      </c>
    </row>
    <row r="161">
      <c r="A161" s="2" t="n">
        <v>159</v>
      </c>
      <c r="B161" s="2">
        <f>DEC2HEX(A161,2)</f>
        <v/>
      </c>
      <c r="C161" s="2">
        <f>INT(A161/64)</f>
        <v/>
      </c>
      <c r="D161" s="2">
        <f>MOD(A161,64)</f>
        <v/>
      </c>
      <c r="E161" s="2">
        <f>IF(AND(D161=8,OR(C161=1,C161=2)),IFERROR(INDEX(ROM_ALUControl!$J$2:$J$20,MATCH(D161,ROM_ALUControl!$B$2:$B$20,0)),"00"),IF(C161=0,"08",IF(C161=1,"0a",IF(C161=3,"04",IFERROR(INDEX(ROM_ALUControl!$J$2:$J$20,MATCH(D161,ROM_ALUControl!$B$2:$B$20,0)),"00")))))</f>
        <v/>
      </c>
    </row>
    <row r="162">
      <c r="A162" s="2" t="n">
        <v>160</v>
      </c>
      <c r="B162" s="2">
        <f>DEC2HEX(A162,2)</f>
        <v/>
      </c>
      <c r="C162" s="2">
        <f>INT(A162/64)</f>
        <v/>
      </c>
      <c r="D162" s="2">
        <f>MOD(A162,64)</f>
        <v/>
      </c>
      <c r="E162" s="2">
        <f>IF(AND(D162=8,OR(C162=1,C162=2)),IFERROR(INDEX(ROM_ALUControl!$J$2:$J$20,MATCH(D162,ROM_ALUControl!$B$2:$B$20,0)),"00"),IF(C162=0,"08",IF(C162=1,"0a",IF(C162=3,"04",IFERROR(INDEX(ROM_ALUControl!$J$2:$J$20,MATCH(D162,ROM_ALUControl!$B$2:$B$20,0)),"00")))))</f>
        <v/>
      </c>
    </row>
    <row r="163">
      <c r="A163" s="2" t="n">
        <v>161</v>
      </c>
      <c r="B163" s="2">
        <f>DEC2HEX(A163,2)</f>
        <v/>
      </c>
      <c r="C163" s="2">
        <f>INT(A163/64)</f>
        <v/>
      </c>
      <c r="D163" s="2">
        <f>MOD(A163,64)</f>
        <v/>
      </c>
      <c r="E163" s="2">
        <f>IF(AND(D163=8,OR(C163=1,C163=2)),IFERROR(INDEX(ROM_ALUControl!$J$2:$J$20,MATCH(D163,ROM_ALUControl!$B$2:$B$20,0)),"00"),IF(C163=0,"08",IF(C163=1,"0a",IF(C163=3,"04",IFERROR(INDEX(ROM_ALUControl!$J$2:$J$20,MATCH(D163,ROM_ALUControl!$B$2:$B$20,0)),"00")))))</f>
        <v/>
      </c>
    </row>
    <row r="164">
      <c r="A164" s="2" t="n">
        <v>162</v>
      </c>
      <c r="B164" s="2">
        <f>DEC2HEX(A164,2)</f>
        <v/>
      </c>
      <c r="C164" s="2">
        <f>INT(A164/64)</f>
        <v/>
      </c>
      <c r="D164" s="2">
        <f>MOD(A164,64)</f>
        <v/>
      </c>
      <c r="E164" s="2">
        <f>IF(AND(D164=8,OR(C164=1,C164=2)),IFERROR(INDEX(ROM_ALUControl!$J$2:$J$20,MATCH(D164,ROM_ALUControl!$B$2:$B$20,0)),"00"),IF(C164=0,"08",IF(C164=1,"0a",IF(C164=3,"04",IFERROR(INDEX(ROM_ALUControl!$J$2:$J$20,MATCH(D164,ROM_ALUControl!$B$2:$B$20,0)),"00")))))</f>
        <v/>
      </c>
    </row>
    <row r="165">
      <c r="A165" s="2" t="n">
        <v>163</v>
      </c>
      <c r="B165" s="2">
        <f>DEC2HEX(A165,2)</f>
        <v/>
      </c>
      <c r="C165" s="2">
        <f>INT(A165/64)</f>
        <v/>
      </c>
      <c r="D165" s="2">
        <f>MOD(A165,64)</f>
        <v/>
      </c>
      <c r="E165" s="2">
        <f>IF(AND(D165=8,OR(C165=1,C165=2)),IFERROR(INDEX(ROM_ALUControl!$J$2:$J$20,MATCH(D165,ROM_ALUControl!$B$2:$B$20,0)),"00"),IF(C165=0,"08",IF(C165=1,"0a",IF(C165=3,"04",IFERROR(INDEX(ROM_ALUControl!$J$2:$J$20,MATCH(D165,ROM_ALUControl!$B$2:$B$20,0)),"00")))))</f>
        <v/>
      </c>
    </row>
    <row r="166">
      <c r="A166" s="2" t="n">
        <v>164</v>
      </c>
      <c r="B166" s="2">
        <f>DEC2HEX(A166,2)</f>
        <v/>
      </c>
      <c r="C166" s="2">
        <f>INT(A166/64)</f>
        <v/>
      </c>
      <c r="D166" s="2">
        <f>MOD(A166,64)</f>
        <v/>
      </c>
      <c r="E166" s="2">
        <f>IF(AND(D166=8,OR(C166=1,C166=2)),IFERROR(INDEX(ROM_ALUControl!$J$2:$J$20,MATCH(D166,ROM_ALUControl!$B$2:$B$20,0)),"00"),IF(C166=0,"08",IF(C166=1,"0a",IF(C166=3,"04",IFERROR(INDEX(ROM_ALUControl!$J$2:$J$20,MATCH(D166,ROM_ALUControl!$B$2:$B$20,0)),"00")))))</f>
        <v/>
      </c>
    </row>
    <row r="167">
      <c r="A167" s="2" t="n">
        <v>165</v>
      </c>
      <c r="B167" s="2">
        <f>DEC2HEX(A167,2)</f>
        <v/>
      </c>
      <c r="C167" s="2">
        <f>INT(A167/64)</f>
        <v/>
      </c>
      <c r="D167" s="2">
        <f>MOD(A167,64)</f>
        <v/>
      </c>
      <c r="E167" s="2">
        <f>IF(AND(D167=8,OR(C167=1,C167=2)),IFERROR(INDEX(ROM_ALUControl!$J$2:$J$20,MATCH(D167,ROM_ALUControl!$B$2:$B$20,0)),"00"),IF(C167=0,"08",IF(C167=1,"0a",IF(C167=3,"04",IFERROR(INDEX(ROM_ALUControl!$J$2:$J$20,MATCH(D167,ROM_ALUControl!$B$2:$B$20,0)),"00")))))</f>
        <v/>
      </c>
    </row>
    <row r="168">
      <c r="A168" s="2" t="n">
        <v>166</v>
      </c>
      <c r="B168" s="2">
        <f>DEC2HEX(A168,2)</f>
        <v/>
      </c>
      <c r="C168" s="2">
        <f>INT(A168/64)</f>
        <v/>
      </c>
      <c r="D168" s="2">
        <f>MOD(A168,64)</f>
        <v/>
      </c>
      <c r="E168" s="2">
        <f>IF(AND(D168=8,OR(C168=1,C168=2)),IFERROR(INDEX(ROM_ALUControl!$J$2:$J$20,MATCH(D168,ROM_ALUControl!$B$2:$B$20,0)),"00"),IF(C168=0,"08",IF(C168=1,"0a",IF(C168=3,"04",IFERROR(INDEX(ROM_ALUControl!$J$2:$J$20,MATCH(D168,ROM_ALUControl!$B$2:$B$20,0)),"00")))))</f>
        <v/>
      </c>
    </row>
    <row r="169">
      <c r="A169" s="2" t="n">
        <v>167</v>
      </c>
      <c r="B169" s="2">
        <f>DEC2HEX(A169,2)</f>
        <v/>
      </c>
      <c r="C169" s="2">
        <f>INT(A169/64)</f>
        <v/>
      </c>
      <c r="D169" s="2">
        <f>MOD(A169,64)</f>
        <v/>
      </c>
      <c r="E169" s="2">
        <f>IF(AND(D169=8,OR(C169=1,C169=2)),IFERROR(INDEX(ROM_ALUControl!$J$2:$J$20,MATCH(D169,ROM_ALUControl!$B$2:$B$20,0)),"00"),IF(C169=0,"08",IF(C169=1,"0a",IF(C169=3,"04",IFERROR(INDEX(ROM_ALUControl!$J$2:$J$20,MATCH(D169,ROM_ALUControl!$B$2:$B$20,0)),"00")))))</f>
        <v/>
      </c>
    </row>
    <row r="170">
      <c r="A170" s="2" t="n">
        <v>168</v>
      </c>
      <c r="B170" s="2">
        <f>DEC2HEX(A170,2)</f>
        <v/>
      </c>
      <c r="C170" s="2">
        <f>INT(A170/64)</f>
        <v/>
      </c>
      <c r="D170" s="2">
        <f>MOD(A170,64)</f>
        <v/>
      </c>
      <c r="E170" s="2">
        <f>IF(AND(D170=8,OR(C170=1,C170=2)),IFERROR(INDEX(ROM_ALUControl!$J$2:$J$20,MATCH(D170,ROM_ALUControl!$B$2:$B$20,0)),"00"),IF(C170=0,"08",IF(C170=1,"0a",IF(C170=3,"04",IFERROR(INDEX(ROM_ALUControl!$J$2:$J$20,MATCH(D170,ROM_ALUControl!$B$2:$B$20,0)),"00")))))</f>
        <v/>
      </c>
    </row>
    <row r="171">
      <c r="A171" s="2" t="n">
        <v>169</v>
      </c>
      <c r="B171" s="2">
        <f>DEC2HEX(A171,2)</f>
        <v/>
      </c>
      <c r="C171" s="2">
        <f>INT(A171/64)</f>
        <v/>
      </c>
      <c r="D171" s="2">
        <f>MOD(A171,64)</f>
        <v/>
      </c>
      <c r="E171" s="2">
        <f>IF(AND(D171=8,OR(C171=1,C171=2)),IFERROR(INDEX(ROM_ALUControl!$J$2:$J$20,MATCH(D171,ROM_ALUControl!$B$2:$B$20,0)),"00"),IF(C171=0,"08",IF(C171=1,"0a",IF(C171=3,"04",IFERROR(INDEX(ROM_ALUControl!$J$2:$J$20,MATCH(D171,ROM_ALUControl!$B$2:$B$20,0)),"00")))))</f>
        <v/>
      </c>
    </row>
    <row r="172">
      <c r="A172" s="2" t="n">
        <v>170</v>
      </c>
      <c r="B172" s="2">
        <f>DEC2HEX(A172,2)</f>
        <v/>
      </c>
      <c r="C172" s="2">
        <f>INT(A172/64)</f>
        <v/>
      </c>
      <c r="D172" s="2">
        <f>MOD(A172,64)</f>
        <v/>
      </c>
      <c r="E172" s="2">
        <f>IF(AND(D172=8,OR(C172=1,C172=2)),IFERROR(INDEX(ROM_ALUControl!$J$2:$J$20,MATCH(D172,ROM_ALUControl!$B$2:$B$20,0)),"00"),IF(C172=0,"08",IF(C172=1,"0a",IF(C172=3,"04",IFERROR(INDEX(ROM_ALUControl!$J$2:$J$20,MATCH(D172,ROM_ALUControl!$B$2:$B$20,0)),"00")))))</f>
        <v/>
      </c>
    </row>
    <row r="173">
      <c r="A173" s="2" t="n">
        <v>171</v>
      </c>
      <c r="B173" s="2">
        <f>DEC2HEX(A173,2)</f>
        <v/>
      </c>
      <c r="C173" s="2">
        <f>INT(A173/64)</f>
        <v/>
      </c>
      <c r="D173" s="2">
        <f>MOD(A173,64)</f>
        <v/>
      </c>
      <c r="E173" s="2">
        <f>IF(AND(D173=8,OR(C173=1,C173=2)),IFERROR(INDEX(ROM_ALUControl!$J$2:$J$20,MATCH(D173,ROM_ALUControl!$B$2:$B$20,0)),"00"),IF(C173=0,"08",IF(C173=1,"0a",IF(C173=3,"04",IFERROR(INDEX(ROM_ALUControl!$J$2:$J$20,MATCH(D173,ROM_ALUControl!$B$2:$B$20,0)),"00")))))</f>
        <v/>
      </c>
    </row>
    <row r="174">
      <c r="A174" s="2" t="n">
        <v>172</v>
      </c>
      <c r="B174" s="2">
        <f>DEC2HEX(A174,2)</f>
        <v/>
      </c>
      <c r="C174" s="2">
        <f>INT(A174/64)</f>
        <v/>
      </c>
      <c r="D174" s="2">
        <f>MOD(A174,64)</f>
        <v/>
      </c>
      <c r="E174" s="2">
        <f>IF(AND(D174=8,OR(C174=1,C174=2)),IFERROR(INDEX(ROM_ALUControl!$J$2:$J$20,MATCH(D174,ROM_ALUControl!$B$2:$B$20,0)),"00"),IF(C174=0,"08",IF(C174=1,"0a",IF(C174=3,"04",IFERROR(INDEX(ROM_ALUControl!$J$2:$J$20,MATCH(D174,ROM_ALUControl!$B$2:$B$20,0)),"00")))))</f>
        <v/>
      </c>
    </row>
    <row r="175">
      <c r="A175" s="2" t="n">
        <v>173</v>
      </c>
      <c r="B175" s="2">
        <f>DEC2HEX(A175,2)</f>
        <v/>
      </c>
      <c r="C175" s="2">
        <f>INT(A175/64)</f>
        <v/>
      </c>
      <c r="D175" s="2">
        <f>MOD(A175,64)</f>
        <v/>
      </c>
      <c r="E175" s="2">
        <f>IF(AND(D175=8,OR(C175=1,C175=2)),IFERROR(INDEX(ROM_ALUControl!$J$2:$J$20,MATCH(D175,ROM_ALUControl!$B$2:$B$20,0)),"00"),IF(C175=0,"08",IF(C175=1,"0a",IF(C175=3,"04",IFERROR(INDEX(ROM_ALUControl!$J$2:$J$20,MATCH(D175,ROM_ALUControl!$B$2:$B$20,0)),"00")))))</f>
        <v/>
      </c>
    </row>
    <row r="176">
      <c r="A176" s="2" t="n">
        <v>174</v>
      </c>
      <c r="B176" s="2">
        <f>DEC2HEX(A176,2)</f>
        <v/>
      </c>
      <c r="C176" s="2">
        <f>INT(A176/64)</f>
        <v/>
      </c>
      <c r="D176" s="2">
        <f>MOD(A176,64)</f>
        <v/>
      </c>
      <c r="E176" s="2">
        <f>IF(AND(D176=8,OR(C176=1,C176=2)),IFERROR(INDEX(ROM_ALUControl!$J$2:$J$20,MATCH(D176,ROM_ALUControl!$B$2:$B$20,0)),"00"),IF(C176=0,"08",IF(C176=1,"0a",IF(C176=3,"04",IFERROR(INDEX(ROM_ALUControl!$J$2:$J$20,MATCH(D176,ROM_ALUControl!$B$2:$B$20,0)),"00")))))</f>
        <v/>
      </c>
    </row>
    <row r="177">
      <c r="A177" s="2" t="n">
        <v>175</v>
      </c>
      <c r="B177" s="2">
        <f>DEC2HEX(A177,2)</f>
        <v/>
      </c>
      <c r="C177" s="2">
        <f>INT(A177/64)</f>
        <v/>
      </c>
      <c r="D177" s="2">
        <f>MOD(A177,64)</f>
        <v/>
      </c>
      <c r="E177" s="2">
        <f>IF(AND(D177=8,OR(C177=1,C177=2)),IFERROR(INDEX(ROM_ALUControl!$J$2:$J$20,MATCH(D177,ROM_ALUControl!$B$2:$B$20,0)),"00"),IF(C177=0,"08",IF(C177=1,"0a",IF(C177=3,"04",IFERROR(INDEX(ROM_ALUControl!$J$2:$J$20,MATCH(D177,ROM_ALUControl!$B$2:$B$20,0)),"00")))))</f>
        <v/>
      </c>
    </row>
    <row r="178">
      <c r="A178" s="2" t="n">
        <v>176</v>
      </c>
      <c r="B178" s="2">
        <f>DEC2HEX(A178,2)</f>
        <v/>
      </c>
      <c r="C178" s="2">
        <f>INT(A178/64)</f>
        <v/>
      </c>
      <c r="D178" s="2">
        <f>MOD(A178,64)</f>
        <v/>
      </c>
      <c r="E178" s="2">
        <f>IF(AND(D178=8,OR(C178=1,C178=2)),IFERROR(INDEX(ROM_ALUControl!$J$2:$J$20,MATCH(D178,ROM_ALUControl!$B$2:$B$20,0)),"00"),IF(C178=0,"08",IF(C178=1,"0a",IF(C178=3,"04",IFERROR(INDEX(ROM_ALUControl!$J$2:$J$20,MATCH(D178,ROM_ALUControl!$B$2:$B$20,0)),"00")))))</f>
        <v/>
      </c>
    </row>
    <row r="179">
      <c r="A179" s="2" t="n">
        <v>177</v>
      </c>
      <c r="B179" s="2">
        <f>DEC2HEX(A179,2)</f>
        <v/>
      </c>
      <c r="C179" s="2">
        <f>INT(A179/64)</f>
        <v/>
      </c>
      <c r="D179" s="2">
        <f>MOD(A179,64)</f>
        <v/>
      </c>
      <c r="E179" s="2">
        <f>IF(AND(D179=8,OR(C179=1,C179=2)),IFERROR(INDEX(ROM_ALUControl!$J$2:$J$20,MATCH(D179,ROM_ALUControl!$B$2:$B$20,0)),"00"),IF(C179=0,"08",IF(C179=1,"0a",IF(C179=3,"04",IFERROR(INDEX(ROM_ALUControl!$J$2:$J$20,MATCH(D179,ROM_ALUControl!$B$2:$B$20,0)),"00")))))</f>
        <v/>
      </c>
    </row>
    <row r="180">
      <c r="A180" s="2" t="n">
        <v>178</v>
      </c>
      <c r="B180" s="2">
        <f>DEC2HEX(A180,2)</f>
        <v/>
      </c>
      <c r="C180" s="2">
        <f>INT(A180/64)</f>
        <v/>
      </c>
      <c r="D180" s="2">
        <f>MOD(A180,64)</f>
        <v/>
      </c>
      <c r="E180" s="2">
        <f>IF(AND(D180=8,OR(C180=1,C180=2)),IFERROR(INDEX(ROM_ALUControl!$J$2:$J$20,MATCH(D180,ROM_ALUControl!$B$2:$B$20,0)),"00"),IF(C180=0,"08",IF(C180=1,"0a",IF(C180=3,"04",IFERROR(INDEX(ROM_ALUControl!$J$2:$J$20,MATCH(D180,ROM_ALUControl!$B$2:$B$20,0)),"00")))))</f>
        <v/>
      </c>
    </row>
    <row r="181">
      <c r="A181" s="2" t="n">
        <v>179</v>
      </c>
      <c r="B181" s="2">
        <f>DEC2HEX(A181,2)</f>
        <v/>
      </c>
      <c r="C181" s="2">
        <f>INT(A181/64)</f>
        <v/>
      </c>
      <c r="D181" s="2">
        <f>MOD(A181,64)</f>
        <v/>
      </c>
      <c r="E181" s="2">
        <f>IF(AND(D181=8,OR(C181=1,C181=2)),IFERROR(INDEX(ROM_ALUControl!$J$2:$J$20,MATCH(D181,ROM_ALUControl!$B$2:$B$20,0)),"00"),IF(C181=0,"08",IF(C181=1,"0a",IF(C181=3,"04",IFERROR(INDEX(ROM_ALUControl!$J$2:$J$20,MATCH(D181,ROM_ALUControl!$B$2:$B$20,0)),"00")))))</f>
        <v/>
      </c>
    </row>
    <row r="182">
      <c r="A182" s="2" t="n">
        <v>180</v>
      </c>
      <c r="B182" s="2">
        <f>DEC2HEX(A182,2)</f>
        <v/>
      </c>
      <c r="C182" s="2">
        <f>INT(A182/64)</f>
        <v/>
      </c>
      <c r="D182" s="2">
        <f>MOD(A182,64)</f>
        <v/>
      </c>
      <c r="E182" s="2">
        <f>IF(AND(D182=8,OR(C182=1,C182=2)),IFERROR(INDEX(ROM_ALUControl!$J$2:$J$20,MATCH(D182,ROM_ALUControl!$B$2:$B$20,0)),"00"),IF(C182=0,"08",IF(C182=1,"0a",IF(C182=3,"04",IFERROR(INDEX(ROM_ALUControl!$J$2:$J$20,MATCH(D182,ROM_ALUControl!$B$2:$B$20,0)),"00")))))</f>
        <v/>
      </c>
    </row>
    <row r="183">
      <c r="A183" s="2" t="n">
        <v>181</v>
      </c>
      <c r="B183" s="2">
        <f>DEC2HEX(A183,2)</f>
        <v/>
      </c>
      <c r="C183" s="2">
        <f>INT(A183/64)</f>
        <v/>
      </c>
      <c r="D183" s="2">
        <f>MOD(A183,64)</f>
        <v/>
      </c>
      <c r="E183" s="2">
        <f>IF(AND(D183=8,OR(C183=1,C183=2)),IFERROR(INDEX(ROM_ALUControl!$J$2:$J$20,MATCH(D183,ROM_ALUControl!$B$2:$B$20,0)),"00"),IF(C183=0,"08",IF(C183=1,"0a",IF(C183=3,"04",IFERROR(INDEX(ROM_ALUControl!$J$2:$J$20,MATCH(D183,ROM_ALUControl!$B$2:$B$20,0)),"00")))))</f>
        <v/>
      </c>
    </row>
    <row r="184">
      <c r="A184" s="2" t="n">
        <v>182</v>
      </c>
      <c r="B184" s="2">
        <f>DEC2HEX(A184,2)</f>
        <v/>
      </c>
      <c r="C184" s="2">
        <f>INT(A184/64)</f>
        <v/>
      </c>
      <c r="D184" s="2">
        <f>MOD(A184,64)</f>
        <v/>
      </c>
      <c r="E184" s="2">
        <f>IF(AND(D184=8,OR(C184=1,C184=2)),IFERROR(INDEX(ROM_ALUControl!$J$2:$J$20,MATCH(D184,ROM_ALUControl!$B$2:$B$20,0)),"00"),IF(C184=0,"08",IF(C184=1,"0a",IF(C184=3,"04",IFERROR(INDEX(ROM_ALUControl!$J$2:$J$20,MATCH(D184,ROM_ALUControl!$B$2:$B$20,0)),"00")))))</f>
        <v/>
      </c>
    </row>
    <row r="185">
      <c r="A185" s="2" t="n">
        <v>183</v>
      </c>
      <c r="B185" s="2">
        <f>DEC2HEX(A185,2)</f>
        <v/>
      </c>
      <c r="C185" s="2">
        <f>INT(A185/64)</f>
        <v/>
      </c>
      <c r="D185" s="2">
        <f>MOD(A185,64)</f>
        <v/>
      </c>
      <c r="E185" s="2">
        <f>IF(AND(D185=8,OR(C185=1,C185=2)),IFERROR(INDEX(ROM_ALUControl!$J$2:$J$20,MATCH(D185,ROM_ALUControl!$B$2:$B$20,0)),"00"),IF(C185=0,"08",IF(C185=1,"0a",IF(C185=3,"04",IFERROR(INDEX(ROM_ALUControl!$J$2:$J$20,MATCH(D185,ROM_ALUControl!$B$2:$B$20,0)),"00")))))</f>
        <v/>
      </c>
    </row>
    <row r="186">
      <c r="A186" s="2" t="n">
        <v>184</v>
      </c>
      <c r="B186" s="2">
        <f>DEC2HEX(A186,2)</f>
        <v/>
      </c>
      <c r="C186" s="2">
        <f>INT(A186/64)</f>
        <v/>
      </c>
      <c r="D186" s="2">
        <f>MOD(A186,64)</f>
        <v/>
      </c>
      <c r="E186" s="2">
        <f>IF(AND(D186=8,OR(C186=1,C186=2)),IFERROR(INDEX(ROM_ALUControl!$J$2:$J$20,MATCH(D186,ROM_ALUControl!$B$2:$B$20,0)),"00"),IF(C186=0,"08",IF(C186=1,"0a",IF(C186=3,"04",IFERROR(INDEX(ROM_ALUControl!$J$2:$J$20,MATCH(D186,ROM_ALUControl!$B$2:$B$20,0)),"00")))))</f>
        <v/>
      </c>
    </row>
    <row r="187">
      <c r="A187" s="2" t="n">
        <v>185</v>
      </c>
      <c r="B187" s="2">
        <f>DEC2HEX(A187,2)</f>
        <v/>
      </c>
      <c r="C187" s="2">
        <f>INT(A187/64)</f>
        <v/>
      </c>
      <c r="D187" s="2">
        <f>MOD(A187,64)</f>
        <v/>
      </c>
      <c r="E187" s="2">
        <f>IF(AND(D187=8,OR(C187=1,C187=2)),IFERROR(INDEX(ROM_ALUControl!$J$2:$J$20,MATCH(D187,ROM_ALUControl!$B$2:$B$20,0)),"00"),IF(C187=0,"08",IF(C187=1,"0a",IF(C187=3,"04",IFERROR(INDEX(ROM_ALUControl!$J$2:$J$20,MATCH(D187,ROM_ALUControl!$B$2:$B$20,0)),"00")))))</f>
        <v/>
      </c>
    </row>
    <row r="188">
      <c r="A188" s="2" t="n">
        <v>186</v>
      </c>
      <c r="B188" s="2">
        <f>DEC2HEX(A188,2)</f>
        <v/>
      </c>
      <c r="C188" s="2">
        <f>INT(A188/64)</f>
        <v/>
      </c>
      <c r="D188" s="2">
        <f>MOD(A188,64)</f>
        <v/>
      </c>
      <c r="E188" s="2">
        <f>IF(AND(D188=8,OR(C188=1,C188=2)),IFERROR(INDEX(ROM_ALUControl!$J$2:$J$20,MATCH(D188,ROM_ALUControl!$B$2:$B$20,0)),"00"),IF(C188=0,"08",IF(C188=1,"0a",IF(C188=3,"04",IFERROR(INDEX(ROM_ALUControl!$J$2:$J$20,MATCH(D188,ROM_ALUControl!$B$2:$B$20,0)),"00")))))</f>
        <v/>
      </c>
    </row>
    <row r="189">
      <c r="A189" s="2" t="n">
        <v>187</v>
      </c>
      <c r="B189" s="2">
        <f>DEC2HEX(A189,2)</f>
        <v/>
      </c>
      <c r="C189" s="2">
        <f>INT(A189/64)</f>
        <v/>
      </c>
      <c r="D189" s="2">
        <f>MOD(A189,64)</f>
        <v/>
      </c>
      <c r="E189" s="2">
        <f>IF(AND(D189=8,OR(C189=1,C189=2)),IFERROR(INDEX(ROM_ALUControl!$J$2:$J$20,MATCH(D189,ROM_ALUControl!$B$2:$B$20,0)),"00"),IF(C189=0,"08",IF(C189=1,"0a",IF(C189=3,"04",IFERROR(INDEX(ROM_ALUControl!$J$2:$J$20,MATCH(D189,ROM_ALUControl!$B$2:$B$20,0)),"00")))))</f>
        <v/>
      </c>
    </row>
    <row r="190">
      <c r="A190" s="2" t="n">
        <v>188</v>
      </c>
      <c r="B190" s="2">
        <f>DEC2HEX(A190,2)</f>
        <v/>
      </c>
      <c r="C190" s="2">
        <f>INT(A190/64)</f>
        <v/>
      </c>
      <c r="D190" s="2">
        <f>MOD(A190,64)</f>
        <v/>
      </c>
      <c r="E190" s="2">
        <f>IF(AND(D190=8,OR(C190=1,C190=2)),IFERROR(INDEX(ROM_ALUControl!$J$2:$J$20,MATCH(D190,ROM_ALUControl!$B$2:$B$20,0)),"00"),IF(C190=0,"08",IF(C190=1,"0a",IF(C190=3,"04",IFERROR(INDEX(ROM_ALUControl!$J$2:$J$20,MATCH(D190,ROM_ALUControl!$B$2:$B$20,0)),"00")))))</f>
        <v/>
      </c>
    </row>
    <row r="191">
      <c r="A191" s="2" t="n">
        <v>189</v>
      </c>
      <c r="B191" s="2">
        <f>DEC2HEX(A191,2)</f>
        <v/>
      </c>
      <c r="C191" s="2">
        <f>INT(A191/64)</f>
        <v/>
      </c>
      <c r="D191" s="2">
        <f>MOD(A191,64)</f>
        <v/>
      </c>
      <c r="E191" s="2">
        <f>IF(AND(D191=8,OR(C191=1,C191=2)),IFERROR(INDEX(ROM_ALUControl!$J$2:$J$20,MATCH(D191,ROM_ALUControl!$B$2:$B$20,0)),"00"),IF(C191=0,"08",IF(C191=1,"0a",IF(C191=3,"04",IFERROR(INDEX(ROM_ALUControl!$J$2:$J$20,MATCH(D191,ROM_ALUControl!$B$2:$B$20,0)),"00")))))</f>
        <v/>
      </c>
    </row>
    <row r="192">
      <c r="A192" s="2" t="n">
        <v>190</v>
      </c>
      <c r="B192" s="2">
        <f>DEC2HEX(A192,2)</f>
        <v/>
      </c>
      <c r="C192" s="2">
        <f>INT(A192/64)</f>
        <v/>
      </c>
      <c r="D192" s="2">
        <f>MOD(A192,64)</f>
        <v/>
      </c>
      <c r="E192" s="2">
        <f>IF(AND(D192=8,OR(C192=1,C192=2)),IFERROR(INDEX(ROM_ALUControl!$J$2:$J$20,MATCH(D192,ROM_ALUControl!$B$2:$B$20,0)),"00"),IF(C192=0,"08",IF(C192=1,"0a",IF(C192=3,"04",IFERROR(INDEX(ROM_ALUControl!$J$2:$J$20,MATCH(D192,ROM_ALUControl!$B$2:$B$20,0)),"00")))))</f>
        <v/>
      </c>
    </row>
    <row r="193">
      <c r="A193" s="2" t="n">
        <v>191</v>
      </c>
      <c r="B193" s="2">
        <f>DEC2HEX(A193,2)</f>
        <v/>
      </c>
      <c r="C193" s="2">
        <f>INT(A193/64)</f>
        <v/>
      </c>
      <c r="D193" s="2">
        <f>MOD(A193,64)</f>
        <v/>
      </c>
      <c r="E193" s="2">
        <f>IF(AND(D193=8,OR(C193=1,C193=2)),IFERROR(INDEX(ROM_ALUControl!$J$2:$J$20,MATCH(D193,ROM_ALUControl!$B$2:$B$20,0)),"00"),IF(C193=0,"08",IF(C193=1,"0a",IF(C193=3,"04",IFERROR(INDEX(ROM_ALUControl!$J$2:$J$20,MATCH(D193,ROM_ALUControl!$B$2:$B$20,0)),"00")))))</f>
        <v/>
      </c>
    </row>
    <row r="194">
      <c r="A194" s="2" t="n">
        <v>192</v>
      </c>
      <c r="B194" s="2">
        <f>DEC2HEX(A194,2)</f>
        <v/>
      </c>
      <c r="C194" s="2">
        <f>INT(A194/64)</f>
        <v/>
      </c>
      <c r="D194" s="2">
        <f>MOD(A194,64)</f>
        <v/>
      </c>
      <c r="E194" s="2">
        <f>IF(AND(D194=8,OR(C194=1,C194=2)),IFERROR(INDEX(ROM_ALUControl!$J$2:$J$20,MATCH(D194,ROM_ALUControl!$B$2:$B$20,0)),"00"),IF(C194=0,"08",IF(C194=1,"0a",IF(C194=3,"04",IFERROR(INDEX(ROM_ALUControl!$J$2:$J$20,MATCH(D194,ROM_ALUControl!$B$2:$B$20,0)),"00")))))</f>
        <v/>
      </c>
    </row>
    <row r="195">
      <c r="A195" s="2" t="n">
        <v>193</v>
      </c>
      <c r="B195" s="2">
        <f>DEC2HEX(A195,2)</f>
        <v/>
      </c>
      <c r="C195" s="2">
        <f>INT(A195/64)</f>
        <v/>
      </c>
      <c r="D195" s="2">
        <f>MOD(A195,64)</f>
        <v/>
      </c>
      <c r="E195" s="2">
        <f>IF(AND(D195=8,OR(C195=1,C195=2)),IFERROR(INDEX(ROM_ALUControl!$J$2:$J$20,MATCH(D195,ROM_ALUControl!$B$2:$B$20,0)),"00"),IF(C195=0,"08",IF(C195=1,"0a",IF(C195=3,"04",IFERROR(INDEX(ROM_ALUControl!$J$2:$J$20,MATCH(D195,ROM_ALUControl!$B$2:$B$20,0)),"00")))))</f>
        <v/>
      </c>
    </row>
    <row r="196">
      <c r="A196" s="2" t="n">
        <v>194</v>
      </c>
      <c r="B196" s="2">
        <f>DEC2HEX(A196,2)</f>
        <v/>
      </c>
      <c r="C196" s="2">
        <f>INT(A196/64)</f>
        <v/>
      </c>
      <c r="D196" s="2">
        <f>MOD(A196,64)</f>
        <v/>
      </c>
      <c r="E196" s="2">
        <f>IF(AND(D196=8,OR(C196=1,C196=2)),IFERROR(INDEX(ROM_ALUControl!$J$2:$J$20,MATCH(D196,ROM_ALUControl!$B$2:$B$20,0)),"00"),IF(C196=0,"08",IF(C196=1,"0a",IF(C196=3,"04",IFERROR(INDEX(ROM_ALUControl!$J$2:$J$20,MATCH(D196,ROM_ALUControl!$B$2:$B$20,0)),"00")))))</f>
        <v/>
      </c>
    </row>
    <row r="197">
      <c r="A197" s="2" t="n">
        <v>195</v>
      </c>
      <c r="B197" s="2">
        <f>DEC2HEX(A197,2)</f>
        <v/>
      </c>
      <c r="C197" s="2">
        <f>INT(A197/64)</f>
        <v/>
      </c>
      <c r="D197" s="2">
        <f>MOD(A197,64)</f>
        <v/>
      </c>
      <c r="E197" s="2">
        <f>IF(AND(D197=8,OR(C197=1,C197=2)),IFERROR(INDEX(ROM_ALUControl!$J$2:$J$20,MATCH(D197,ROM_ALUControl!$B$2:$B$20,0)),"00"),IF(C197=0,"08",IF(C197=1,"0a",IF(C197=3,"04",IFERROR(INDEX(ROM_ALUControl!$J$2:$J$20,MATCH(D197,ROM_ALUControl!$B$2:$B$20,0)),"00")))))</f>
        <v/>
      </c>
    </row>
    <row r="198">
      <c r="A198" s="2" t="n">
        <v>196</v>
      </c>
      <c r="B198" s="2">
        <f>DEC2HEX(A198,2)</f>
        <v/>
      </c>
      <c r="C198" s="2">
        <f>INT(A198/64)</f>
        <v/>
      </c>
      <c r="D198" s="2">
        <f>MOD(A198,64)</f>
        <v/>
      </c>
      <c r="E198" s="2">
        <f>IF(AND(D198=8,OR(C198=1,C198=2)),IFERROR(INDEX(ROM_ALUControl!$J$2:$J$20,MATCH(D198,ROM_ALUControl!$B$2:$B$20,0)),"00"),IF(C198=0,"08",IF(C198=1,"0a",IF(C198=3,"04",IFERROR(INDEX(ROM_ALUControl!$J$2:$J$20,MATCH(D198,ROM_ALUControl!$B$2:$B$20,0)),"00")))))</f>
        <v/>
      </c>
    </row>
    <row r="199">
      <c r="A199" s="2" t="n">
        <v>197</v>
      </c>
      <c r="B199" s="2">
        <f>DEC2HEX(A199,2)</f>
        <v/>
      </c>
      <c r="C199" s="2">
        <f>INT(A199/64)</f>
        <v/>
      </c>
      <c r="D199" s="2">
        <f>MOD(A199,64)</f>
        <v/>
      </c>
      <c r="E199" s="2">
        <f>IF(AND(D199=8,OR(C199=1,C199=2)),IFERROR(INDEX(ROM_ALUControl!$J$2:$J$20,MATCH(D199,ROM_ALUControl!$B$2:$B$20,0)),"00"),IF(C199=0,"08",IF(C199=1,"0a",IF(C199=3,"04",IFERROR(INDEX(ROM_ALUControl!$J$2:$J$20,MATCH(D199,ROM_ALUControl!$B$2:$B$20,0)),"00")))))</f>
        <v/>
      </c>
    </row>
    <row r="200">
      <c r="A200" s="2" t="n">
        <v>198</v>
      </c>
      <c r="B200" s="2">
        <f>DEC2HEX(A200,2)</f>
        <v/>
      </c>
      <c r="C200" s="2">
        <f>INT(A200/64)</f>
        <v/>
      </c>
      <c r="D200" s="2">
        <f>MOD(A200,64)</f>
        <v/>
      </c>
      <c r="E200" s="2">
        <f>IF(AND(D200=8,OR(C200=1,C200=2)),IFERROR(INDEX(ROM_ALUControl!$J$2:$J$20,MATCH(D200,ROM_ALUControl!$B$2:$B$20,0)),"00"),IF(C200=0,"08",IF(C200=1,"0a",IF(C200=3,"04",IFERROR(INDEX(ROM_ALUControl!$J$2:$J$20,MATCH(D200,ROM_ALUControl!$B$2:$B$20,0)),"00")))))</f>
        <v/>
      </c>
    </row>
    <row r="201">
      <c r="A201" s="2" t="n">
        <v>199</v>
      </c>
      <c r="B201" s="2">
        <f>DEC2HEX(A201,2)</f>
        <v/>
      </c>
      <c r="C201" s="2">
        <f>INT(A201/64)</f>
        <v/>
      </c>
      <c r="D201" s="2">
        <f>MOD(A201,64)</f>
        <v/>
      </c>
      <c r="E201" s="2">
        <f>IF(AND(D201=8,OR(C201=1,C201=2)),IFERROR(INDEX(ROM_ALUControl!$J$2:$J$20,MATCH(D201,ROM_ALUControl!$B$2:$B$20,0)),"00"),IF(C201=0,"08",IF(C201=1,"0a",IF(C201=3,"04",IFERROR(INDEX(ROM_ALUControl!$J$2:$J$20,MATCH(D201,ROM_ALUControl!$B$2:$B$20,0)),"00")))))</f>
        <v/>
      </c>
    </row>
    <row r="202">
      <c r="A202" s="2" t="n">
        <v>200</v>
      </c>
      <c r="B202" s="2">
        <f>DEC2HEX(A202,2)</f>
        <v/>
      </c>
      <c r="C202" s="2">
        <f>INT(A202/64)</f>
        <v/>
      </c>
      <c r="D202" s="2">
        <f>MOD(A202,64)</f>
        <v/>
      </c>
      <c r="E202" s="2">
        <f>IF(AND(D202=8,OR(C202=1,C202=2)),IFERROR(INDEX(ROM_ALUControl!$J$2:$J$20,MATCH(D202,ROM_ALUControl!$B$2:$B$20,0)),"00"),IF(C202=0,"08",IF(C202=1,"0a",IF(C202=3,"04",IFERROR(INDEX(ROM_ALUControl!$J$2:$J$20,MATCH(D202,ROM_ALUControl!$B$2:$B$20,0)),"00")))))</f>
        <v/>
      </c>
    </row>
    <row r="203">
      <c r="A203" s="2" t="n">
        <v>201</v>
      </c>
      <c r="B203" s="2">
        <f>DEC2HEX(A203,2)</f>
        <v/>
      </c>
      <c r="C203" s="2">
        <f>INT(A203/64)</f>
        <v/>
      </c>
      <c r="D203" s="2">
        <f>MOD(A203,64)</f>
        <v/>
      </c>
      <c r="E203" s="2">
        <f>IF(AND(D203=8,OR(C203=1,C203=2)),IFERROR(INDEX(ROM_ALUControl!$J$2:$J$20,MATCH(D203,ROM_ALUControl!$B$2:$B$20,0)),"00"),IF(C203=0,"08",IF(C203=1,"0a",IF(C203=3,"04",IFERROR(INDEX(ROM_ALUControl!$J$2:$J$20,MATCH(D203,ROM_ALUControl!$B$2:$B$20,0)),"00")))))</f>
        <v/>
      </c>
    </row>
    <row r="204">
      <c r="A204" s="2" t="n">
        <v>202</v>
      </c>
      <c r="B204" s="2">
        <f>DEC2HEX(A204,2)</f>
        <v/>
      </c>
      <c r="C204" s="2">
        <f>INT(A204/64)</f>
        <v/>
      </c>
      <c r="D204" s="2">
        <f>MOD(A204,64)</f>
        <v/>
      </c>
      <c r="E204" s="2">
        <f>IF(AND(D204=8,OR(C204=1,C204=2)),IFERROR(INDEX(ROM_ALUControl!$J$2:$J$20,MATCH(D204,ROM_ALUControl!$B$2:$B$20,0)),"00"),IF(C204=0,"08",IF(C204=1,"0a",IF(C204=3,"04",IFERROR(INDEX(ROM_ALUControl!$J$2:$J$20,MATCH(D204,ROM_ALUControl!$B$2:$B$20,0)),"00")))))</f>
        <v/>
      </c>
    </row>
    <row r="205">
      <c r="A205" s="2" t="n">
        <v>203</v>
      </c>
      <c r="B205" s="2">
        <f>DEC2HEX(A205,2)</f>
        <v/>
      </c>
      <c r="C205" s="2">
        <f>INT(A205/64)</f>
        <v/>
      </c>
      <c r="D205" s="2">
        <f>MOD(A205,64)</f>
        <v/>
      </c>
      <c r="E205" s="2">
        <f>IF(AND(D205=8,OR(C205=1,C205=2)),IFERROR(INDEX(ROM_ALUControl!$J$2:$J$20,MATCH(D205,ROM_ALUControl!$B$2:$B$20,0)),"00"),IF(C205=0,"08",IF(C205=1,"0a",IF(C205=3,"04",IFERROR(INDEX(ROM_ALUControl!$J$2:$J$20,MATCH(D205,ROM_ALUControl!$B$2:$B$20,0)),"00")))))</f>
        <v/>
      </c>
    </row>
    <row r="206">
      <c r="A206" s="2" t="n">
        <v>204</v>
      </c>
      <c r="B206" s="2">
        <f>DEC2HEX(A206,2)</f>
        <v/>
      </c>
      <c r="C206" s="2">
        <f>INT(A206/64)</f>
        <v/>
      </c>
      <c r="D206" s="2">
        <f>MOD(A206,64)</f>
        <v/>
      </c>
      <c r="E206" s="2">
        <f>IF(AND(D206=8,OR(C206=1,C206=2)),IFERROR(INDEX(ROM_ALUControl!$J$2:$J$20,MATCH(D206,ROM_ALUControl!$B$2:$B$20,0)),"00"),IF(C206=0,"08",IF(C206=1,"0a",IF(C206=3,"04",IFERROR(INDEX(ROM_ALUControl!$J$2:$J$20,MATCH(D206,ROM_ALUControl!$B$2:$B$20,0)),"00")))))</f>
        <v/>
      </c>
    </row>
    <row r="207">
      <c r="A207" s="2" t="n">
        <v>205</v>
      </c>
      <c r="B207" s="2">
        <f>DEC2HEX(A207,2)</f>
        <v/>
      </c>
      <c r="C207" s="2">
        <f>INT(A207/64)</f>
        <v/>
      </c>
      <c r="D207" s="2">
        <f>MOD(A207,64)</f>
        <v/>
      </c>
      <c r="E207" s="2">
        <f>IF(AND(D207=8,OR(C207=1,C207=2)),IFERROR(INDEX(ROM_ALUControl!$J$2:$J$20,MATCH(D207,ROM_ALUControl!$B$2:$B$20,0)),"00"),IF(C207=0,"08",IF(C207=1,"0a",IF(C207=3,"04",IFERROR(INDEX(ROM_ALUControl!$J$2:$J$20,MATCH(D207,ROM_ALUControl!$B$2:$B$20,0)),"00")))))</f>
        <v/>
      </c>
    </row>
    <row r="208">
      <c r="A208" s="2" t="n">
        <v>206</v>
      </c>
      <c r="B208" s="2">
        <f>DEC2HEX(A208,2)</f>
        <v/>
      </c>
      <c r="C208" s="2">
        <f>INT(A208/64)</f>
        <v/>
      </c>
      <c r="D208" s="2">
        <f>MOD(A208,64)</f>
        <v/>
      </c>
      <c r="E208" s="2">
        <f>IF(AND(D208=8,OR(C208=1,C208=2)),IFERROR(INDEX(ROM_ALUControl!$J$2:$J$20,MATCH(D208,ROM_ALUControl!$B$2:$B$20,0)),"00"),IF(C208=0,"08",IF(C208=1,"0a",IF(C208=3,"04",IFERROR(INDEX(ROM_ALUControl!$J$2:$J$20,MATCH(D208,ROM_ALUControl!$B$2:$B$20,0)),"00")))))</f>
        <v/>
      </c>
    </row>
    <row r="209">
      <c r="A209" s="2" t="n">
        <v>207</v>
      </c>
      <c r="B209" s="2">
        <f>DEC2HEX(A209,2)</f>
        <v/>
      </c>
      <c r="C209" s="2">
        <f>INT(A209/64)</f>
        <v/>
      </c>
      <c r="D209" s="2">
        <f>MOD(A209,64)</f>
        <v/>
      </c>
      <c r="E209" s="2">
        <f>IF(AND(D209=8,OR(C209=1,C209=2)),IFERROR(INDEX(ROM_ALUControl!$J$2:$J$20,MATCH(D209,ROM_ALUControl!$B$2:$B$20,0)),"00"),IF(C209=0,"08",IF(C209=1,"0a",IF(C209=3,"04",IFERROR(INDEX(ROM_ALUControl!$J$2:$J$20,MATCH(D209,ROM_ALUControl!$B$2:$B$20,0)),"00")))))</f>
        <v/>
      </c>
    </row>
    <row r="210">
      <c r="A210" s="2" t="n">
        <v>208</v>
      </c>
      <c r="B210" s="2">
        <f>DEC2HEX(A210,2)</f>
        <v/>
      </c>
      <c r="C210" s="2">
        <f>INT(A210/64)</f>
        <v/>
      </c>
      <c r="D210" s="2">
        <f>MOD(A210,64)</f>
        <v/>
      </c>
      <c r="E210" s="2">
        <f>IF(AND(D210=8,OR(C210=1,C210=2)),IFERROR(INDEX(ROM_ALUControl!$J$2:$J$20,MATCH(D210,ROM_ALUControl!$B$2:$B$20,0)),"00"),IF(C210=0,"08",IF(C210=1,"0a",IF(C210=3,"04",IFERROR(INDEX(ROM_ALUControl!$J$2:$J$20,MATCH(D210,ROM_ALUControl!$B$2:$B$20,0)),"00")))))</f>
        <v/>
      </c>
    </row>
    <row r="211">
      <c r="A211" s="2" t="n">
        <v>209</v>
      </c>
      <c r="B211" s="2">
        <f>DEC2HEX(A211,2)</f>
        <v/>
      </c>
      <c r="C211" s="2">
        <f>INT(A211/64)</f>
        <v/>
      </c>
      <c r="D211" s="2">
        <f>MOD(A211,64)</f>
        <v/>
      </c>
      <c r="E211" s="2">
        <f>IF(AND(D211=8,OR(C211=1,C211=2)),IFERROR(INDEX(ROM_ALUControl!$J$2:$J$20,MATCH(D211,ROM_ALUControl!$B$2:$B$20,0)),"00"),IF(C211=0,"08",IF(C211=1,"0a",IF(C211=3,"04",IFERROR(INDEX(ROM_ALUControl!$J$2:$J$20,MATCH(D211,ROM_ALUControl!$B$2:$B$20,0)),"00")))))</f>
        <v/>
      </c>
    </row>
    <row r="212">
      <c r="A212" s="2" t="n">
        <v>210</v>
      </c>
      <c r="B212" s="2">
        <f>DEC2HEX(A212,2)</f>
        <v/>
      </c>
      <c r="C212" s="2">
        <f>INT(A212/64)</f>
        <v/>
      </c>
      <c r="D212" s="2">
        <f>MOD(A212,64)</f>
        <v/>
      </c>
      <c r="E212" s="2">
        <f>IF(AND(D212=8,OR(C212=1,C212=2)),IFERROR(INDEX(ROM_ALUControl!$J$2:$J$20,MATCH(D212,ROM_ALUControl!$B$2:$B$20,0)),"00"),IF(C212=0,"08",IF(C212=1,"0a",IF(C212=3,"04",IFERROR(INDEX(ROM_ALUControl!$J$2:$J$20,MATCH(D212,ROM_ALUControl!$B$2:$B$20,0)),"00")))))</f>
        <v/>
      </c>
    </row>
    <row r="213">
      <c r="A213" s="2" t="n">
        <v>211</v>
      </c>
      <c r="B213" s="2">
        <f>DEC2HEX(A213,2)</f>
        <v/>
      </c>
      <c r="C213" s="2">
        <f>INT(A213/64)</f>
        <v/>
      </c>
      <c r="D213" s="2">
        <f>MOD(A213,64)</f>
        <v/>
      </c>
      <c r="E213" s="2">
        <f>IF(AND(D213=8,OR(C213=1,C213=2)),IFERROR(INDEX(ROM_ALUControl!$J$2:$J$20,MATCH(D213,ROM_ALUControl!$B$2:$B$20,0)),"00"),IF(C213=0,"08",IF(C213=1,"0a",IF(C213=3,"04",IFERROR(INDEX(ROM_ALUControl!$J$2:$J$20,MATCH(D213,ROM_ALUControl!$B$2:$B$20,0)),"00")))))</f>
        <v/>
      </c>
    </row>
    <row r="214">
      <c r="A214" s="2" t="n">
        <v>212</v>
      </c>
      <c r="B214" s="2">
        <f>DEC2HEX(A214,2)</f>
        <v/>
      </c>
      <c r="C214" s="2">
        <f>INT(A214/64)</f>
        <v/>
      </c>
      <c r="D214" s="2">
        <f>MOD(A214,64)</f>
        <v/>
      </c>
      <c r="E214" s="2">
        <f>IF(AND(D214=8,OR(C214=1,C214=2)),IFERROR(INDEX(ROM_ALUControl!$J$2:$J$20,MATCH(D214,ROM_ALUControl!$B$2:$B$20,0)),"00"),IF(C214=0,"08",IF(C214=1,"0a",IF(C214=3,"04",IFERROR(INDEX(ROM_ALUControl!$J$2:$J$20,MATCH(D214,ROM_ALUControl!$B$2:$B$20,0)),"00")))))</f>
        <v/>
      </c>
    </row>
    <row r="215">
      <c r="A215" s="2" t="n">
        <v>213</v>
      </c>
      <c r="B215" s="2">
        <f>DEC2HEX(A215,2)</f>
        <v/>
      </c>
      <c r="C215" s="2">
        <f>INT(A215/64)</f>
        <v/>
      </c>
      <c r="D215" s="2">
        <f>MOD(A215,64)</f>
        <v/>
      </c>
      <c r="E215" s="2">
        <f>IF(AND(D215=8,OR(C215=1,C215=2)),IFERROR(INDEX(ROM_ALUControl!$J$2:$J$20,MATCH(D215,ROM_ALUControl!$B$2:$B$20,0)),"00"),IF(C215=0,"08",IF(C215=1,"0a",IF(C215=3,"04",IFERROR(INDEX(ROM_ALUControl!$J$2:$J$20,MATCH(D215,ROM_ALUControl!$B$2:$B$20,0)),"00")))))</f>
        <v/>
      </c>
    </row>
    <row r="216">
      <c r="A216" s="2" t="n">
        <v>214</v>
      </c>
      <c r="B216" s="2">
        <f>DEC2HEX(A216,2)</f>
        <v/>
      </c>
      <c r="C216" s="2">
        <f>INT(A216/64)</f>
        <v/>
      </c>
      <c r="D216" s="2">
        <f>MOD(A216,64)</f>
        <v/>
      </c>
      <c r="E216" s="2">
        <f>IF(AND(D216=8,OR(C216=1,C216=2)),IFERROR(INDEX(ROM_ALUControl!$J$2:$J$20,MATCH(D216,ROM_ALUControl!$B$2:$B$20,0)),"00"),IF(C216=0,"08",IF(C216=1,"0a",IF(C216=3,"04",IFERROR(INDEX(ROM_ALUControl!$J$2:$J$20,MATCH(D216,ROM_ALUControl!$B$2:$B$20,0)),"00")))))</f>
        <v/>
      </c>
    </row>
    <row r="217">
      <c r="A217" s="2" t="n">
        <v>215</v>
      </c>
      <c r="B217" s="2">
        <f>DEC2HEX(A217,2)</f>
        <v/>
      </c>
      <c r="C217" s="2">
        <f>INT(A217/64)</f>
        <v/>
      </c>
      <c r="D217" s="2">
        <f>MOD(A217,64)</f>
        <v/>
      </c>
      <c r="E217" s="2">
        <f>IF(AND(D217=8,OR(C217=1,C217=2)),IFERROR(INDEX(ROM_ALUControl!$J$2:$J$20,MATCH(D217,ROM_ALUControl!$B$2:$B$20,0)),"00"),IF(C217=0,"08",IF(C217=1,"0a",IF(C217=3,"04",IFERROR(INDEX(ROM_ALUControl!$J$2:$J$20,MATCH(D217,ROM_ALUControl!$B$2:$B$20,0)),"00")))))</f>
        <v/>
      </c>
    </row>
    <row r="218">
      <c r="A218" s="2" t="n">
        <v>216</v>
      </c>
      <c r="B218" s="2">
        <f>DEC2HEX(A218,2)</f>
        <v/>
      </c>
      <c r="C218" s="2">
        <f>INT(A218/64)</f>
        <v/>
      </c>
      <c r="D218" s="2">
        <f>MOD(A218,64)</f>
        <v/>
      </c>
      <c r="E218" s="2">
        <f>IF(AND(D218=8,OR(C218=1,C218=2)),IFERROR(INDEX(ROM_ALUControl!$J$2:$J$20,MATCH(D218,ROM_ALUControl!$B$2:$B$20,0)),"00"),IF(C218=0,"08",IF(C218=1,"0a",IF(C218=3,"04",IFERROR(INDEX(ROM_ALUControl!$J$2:$J$20,MATCH(D218,ROM_ALUControl!$B$2:$B$20,0)),"00")))))</f>
        <v/>
      </c>
    </row>
    <row r="219">
      <c r="A219" s="2" t="n">
        <v>217</v>
      </c>
      <c r="B219" s="2">
        <f>DEC2HEX(A219,2)</f>
        <v/>
      </c>
      <c r="C219" s="2">
        <f>INT(A219/64)</f>
        <v/>
      </c>
      <c r="D219" s="2">
        <f>MOD(A219,64)</f>
        <v/>
      </c>
      <c r="E219" s="2">
        <f>IF(AND(D219=8,OR(C219=1,C219=2)),IFERROR(INDEX(ROM_ALUControl!$J$2:$J$20,MATCH(D219,ROM_ALUControl!$B$2:$B$20,0)),"00"),IF(C219=0,"08",IF(C219=1,"0a",IF(C219=3,"04",IFERROR(INDEX(ROM_ALUControl!$J$2:$J$20,MATCH(D219,ROM_ALUControl!$B$2:$B$20,0)),"00")))))</f>
        <v/>
      </c>
    </row>
    <row r="220">
      <c r="A220" s="2" t="n">
        <v>218</v>
      </c>
      <c r="B220" s="2">
        <f>DEC2HEX(A220,2)</f>
        <v/>
      </c>
      <c r="C220" s="2">
        <f>INT(A220/64)</f>
        <v/>
      </c>
      <c r="D220" s="2">
        <f>MOD(A220,64)</f>
        <v/>
      </c>
      <c r="E220" s="2">
        <f>IF(AND(D220=8,OR(C220=1,C220=2)),IFERROR(INDEX(ROM_ALUControl!$J$2:$J$20,MATCH(D220,ROM_ALUControl!$B$2:$B$20,0)),"00"),IF(C220=0,"08",IF(C220=1,"0a",IF(C220=3,"04",IFERROR(INDEX(ROM_ALUControl!$J$2:$J$20,MATCH(D220,ROM_ALUControl!$B$2:$B$20,0)),"00")))))</f>
        <v/>
      </c>
    </row>
    <row r="221">
      <c r="A221" s="2" t="n">
        <v>219</v>
      </c>
      <c r="B221" s="2">
        <f>DEC2HEX(A221,2)</f>
        <v/>
      </c>
      <c r="C221" s="2">
        <f>INT(A221/64)</f>
        <v/>
      </c>
      <c r="D221" s="2">
        <f>MOD(A221,64)</f>
        <v/>
      </c>
      <c r="E221" s="2">
        <f>IF(AND(D221=8,OR(C221=1,C221=2)),IFERROR(INDEX(ROM_ALUControl!$J$2:$J$20,MATCH(D221,ROM_ALUControl!$B$2:$B$20,0)),"00"),IF(C221=0,"08",IF(C221=1,"0a",IF(C221=3,"04",IFERROR(INDEX(ROM_ALUControl!$J$2:$J$20,MATCH(D221,ROM_ALUControl!$B$2:$B$20,0)),"00")))))</f>
        <v/>
      </c>
    </row>
    <row r="222">
      <c r="A222" s="2" t="n">
        <v>220</v>
      </c>
      <c r="B222" s="2">
        <f>DEC2HEX(A222,2)</f>
        <v/>
      </c>
      <c r="C222" s="2">
        <f>INT(A222/64)</f>
        <v/>
      </c>
      <c r="D222" s="2">
        <f>MOD(A222,64)</f>
        <v/>
      </c>
      <c r="E222" s="2">
        <f>IF(AND(D222=8,OR(C222=1,C222=2)),IFERROR(INDEX(ROM_ALUControl!$J$2:$J$20,MATCH(D222,ROM_ALUControl!$B$2:$B$20,0)),"00"),IF(C222=0,"08",IF(C222=1,"0a",IF(C222=3,"04",IFERROR(INDEX(ROM_ALUControl!$J$2:$J$20,MATCH(D222,ROM_ALUControl!$B$2:$B$20,0)),"00")))))</f>
        <v/>
      </c>
    </row>
    <row r="223">
      <c r="A223" s="2" t="n">
        <v>221</v>
      </c>
      <c r="B223" s="2">
        <f>DEC2HEX(A223,2)</f>
        <v/>
      </c>
      <c r="C223" s="2">
        <f>INT(A223/64)</f>
        <v/>
      </c>
      <c r="D223" s="2">
        <f>MOD(A223,64)</f>
        <v/>
      </c>
      <c r="E223" s="2">
        <f>IF(AND(D223=8,OR(C223=1,C223=2)),IFERROR(INDEX(ROM_ALUControl!$J$2:$J$20,MATCH(D223,ROM_ALUControl!$B$2:$B$20,0)),"00"),IF(C223=0,"08",IF(C223=1,"0a",IF(C223=3,"04",IFERROR(INDEX(ROM_ALUControl!$J$2:$J$20,MATCH(D223,ROM_ALUControl!$B$2:$B$20,0)),"00")))))</f>
        <v/>
      </c>
    </row>
    <row r="224">
      <c r="A224" s="2" t="n">
        <v>222</v>
      </c>
      <c r="B224" s="2">
        <f>DEC2HEX(A224,2)</f>
        <v/>
      </c>
      <c r="C224" s="2">
        <f>INT(A224/64)</f>
        <v/>
      </c>
      <c r="D224" s="2">
        <f>MOD(A224,64)</f>
        <v/>
      </c>
      <c r="E224" s="2">
        <f>IF(AND(D224=8,OR(C224=1,C224=2)),IFERROR(INDEX(ROM_ALUControl!$J$2:$J$20,MATCH(D224,ROM_ALUControl!$B$2:$B$20,0)),"00"),IF(C224=0,"08",IF(C224=1,"0a",IF(C224=3,"04",IFERROR(INDEX(ROM_ALUControl!$J$2:$J$20,MATCH(D224,ROM_ALUControl!$B$2:$B$20,0)),"00")))))</f>
        <v/>
      </c>
    </row>
    <row r="225">
      <c r="A225" s="2" t="n">
        <v>223</v>
      </c>
      <c r="B225" s="2">
        <f>DEC2HEX(A225,2)</f>
        <v/>
      </c>
      <c r="C225" s="2">
        <f>INT(A225/64)</f>
        <v/>
      </c>
      <c r="D225" s="2">
        <f>MOD(A225,64)</f>
        <v/>
      </c>
      <c r="E225" s="2">
        <f>IF(AND(D225=8,OR(C225=1,C225=2)),IFERROR(INDEX(ROM_ALUControl!$J$2:$J$20,MATCH(D225,ROM_ALUControl!$B$2:$B$20,0)),"00"),IF(C225=0,"08",IF(C225=1,"0a",IF(C225=3,"04",IFERROR(INDEX(ROM_ALUControl!$J$2:$J$20,MATCH(D225,ROM_ALUControl!$B$2:$B$20,0)),"00")))))</f>
        <v/>
      </c>
    </row>
    <row r="226">
      <c r="A226" s="2" t="n">
        <v>224</v>
      </c>
      <c r="B226" s="2">
        <f>DEC2HEX(A226,2)</f>
        <v/>
      </c>
      <c r="C226" s="2">
        <f>INT(A226/64)</f>
        <v/>
      </c>
      <c r="D226" s="2">
        <f>MOD(A226,64)</f>
        <v/>
      </c>
      <c r="E226" s="2">
        <f>IF(AND(D226=8,OR(C226=1,C226=2)),IFERROR(INDEX(ROM_ALUControl!$J$2:$J$20,MATCH(D226,ROM_ALUControl!$B$2:$B$20,0)),"00"),IF(C226=0,"08",IF(C226=1,"0a",IF(C226=3,"04",IFERROR(INDEX(ROM_ALUControl!$J$2:$J$20,MATCH(D226,ROM_ALUControl!$B$2:$B$20,0)),"00")))))</f>
        <v/>
      </c>
    </row>
    <row r="227">
      <c r="A227" s="2" t="n">
        <v>225</v>
      </c>
      <c r="B227" s="2">
        <f>DEC2HEX(A227,2)</f>
        <v/>
      </c>
      <c r="C227" s="2">
        <f>INT(A227/64)</f>
        <v/>
      </c>
      <c r="D227" s="2">
        <f>MOD(A227,64)</f>
        <v/>
      </c>
      <c r="E227" s="2">
        <f>IF(AND(D227=8,OR(C227=1,C227=2)),IFERROR(INDEX(ROM_ALUControl!$J$2:$J$20,MATCH(D227,ROM_ALUControl!$B$2:$B$20,0)),"00"),IF(C227=0,"08",IF(C227=1,"0a",IF(C227=3,"04",IFERROR(INDEX(ROM_ALUControl!$J$2:$J$20,MATCH(D227,ROM_ALUControl!$B$2:$B$20,0)),"00")))))</f>
        <v/>
      </c>
    </row>
    <row r="228">
      <c r="A228" s="2" t="n">
        <v>226</v>
      </c>
      <c r="B228" s="2">
        <f>DEC2HEX(A228,2)</f>
        <v/>
      </c>
      <c r="C228" s="2">
        <f>INT(A228/64)</f>
        <v/>
      </c>
      <c r="D228" s="2">
        <f>MOD(A228,64)</f>
        <v/>
      </c>
      <c r="E228" s="2">
        <f>IF(AND(D228=8,OR(C228=1,C228=2)),IFERROR(INDEX(ROM_ALUControl!$J$2:$J$20,MATCH(D228,ROM_ALUControl!$B$2:$B$20,0)),"00"),IF(C228=0,"08",IF(C228=1,"0a",IF(C228=3,"04",IFERROR(INDEX(ROM_ALUControl!$J$2:$J$20,MATCH(D228,ROM_ALUControl!$B$2:$B$20,0)),"00")))))</f>
        <v/>
      </c>
    </row>
    <row r="229">
      <c r="A229" s="2" t="n">
        <v>227</v>
      </c>
      <c r="B229" s="2">
        <f>DEC2HEX(A229,2)</f>
        <v/>
      </c>
      <c r="C229" s="2">
        <f>INT(A229/64)</f>
        <v/>
      </c>
      <c r="D229" s="2">
        <f>MOD(A229,64)</f>
        <v/>
      </c>
      <c r="E229" s="2">
        <f>IF(AND(D229=8,OR(C229=1,C229=2)),IFERROR(INDEX(ROM_ALUControl!$J$2:$J$20,MATCH(D229,ROM_ALUControl!$B$2:$B$20,0)),"00"),IF(C229=0,"08",IF(C229=1,"0a",IF(C229=3,"04",IFERROR(INDEX(ROM_ALUControl!$J$2:$J$20,MATCH(D229,ROM_ALUControl!$B$2:$B$20,0)),"00")))))</f>
        <v/>
      </c>
    </row>
    <row r="230">
      <c r="A230" s="2" t="n">
        <v>228</v>
      </c>
      <c r="B230" s="2">
        <f>DEC2HEX(A230,2)</f>
        <v/>
      </c>
      <c r="C230" s="2">
        <f>INT(A230/64)</f>
        <v/>
      </c>
      <c r="D230" s="2">
        <f>MOD(A230,64)</f>
        <v/>
      </c>
      <c r="E230" s="2">
        <f>IF(AND(D230=8,OR(C230=1,C230=2)),IFERROR(INDEX(ROM_ALUControl!$J$2:$J$20,MATCH(D230,ROM_ALUControl!$B$2:$B$20,0)),"00"),IF(C230=0,"08",IF(C230=1,"0a",IF(C230=3,"04",IFERROR(INDEX(ROM_ALUControl!$J$2:$J$20,MATCH(D230,ROM_ALUControl!$B$2:$B$20,0)),"00")))))</f>
        <v/>
      </c>
    </row>
    <row r="231">
      <c r="A231" s="2" t="n">
        <v>229</v>
      </c>
      <c r="B231" s="2">
        <f>DEC2HEX(A231,2)</f>
        <v/>
      </c>
      <c r="C231" s="2">
        <f>INT(A231/64)</f>
        <v/>
      </c>
      <c r="D231" s="2">
        <f>MOD(A231,64)</f>
        <v/>
      </c>
      <c r="E231" s="2">
        <f>IF(AND(D231=8,OR(C231=1,C231=2)),IFERROR(INDEX(ROM_ALUControl!$J$2:$J$20,MATCH(D231,ROM_ALUControl!$B$2:$B$20,0)),"00"),IF(C231=0,"08",IF(C231=1,"0a",IF(C231=3,"04",IFERROR(INDEX(ROM_ALUControl!$J$2:$J$20,MATCH(D231,ROM_ALUControl!$B$2:$B$20,0)),"00")))))</f>
        <v/>
      </c>
    </row>
    <row r="232">
      <c r="A232" s="2" t="n">
        <v>230</v>
      </c>
      <c r="B232" s="2">
        <f>DEC2HEX(A232,2)</f>
        <v/>
      </c>
      <c r="C232" s="2">
        <f>INT(A232/64)</f>
        <v/>
      </c>
      <c r="D232" s="2">
        <f>MOD(A232,64)</f>
        <v/>
      </c>
      <c r="E232" s="2">
        <f>IF(AND(D232=8,OR(C232=1,C232=2)),IFERROR(INDEX(ROM_ALUControl!$J$2:$J$20,MATCH(D232,ROM_ALUControl!$B$2:$B$20,0)),"00"),IF(C232=0,"08",IF(C232=1,"0a",IF(C232=3,"04",IFERROR(INDEX(ROM_ALUControl!$J$2:$J$20,MATCH(D232,ROM_ALUControl!$B$2:$B$20,0)),"00")))))</f>
        <v/>
      </c>
    </row>
    <row r="233">
      <c r="A233" s="2" t="n">
        <v>231</v>
      </c>
      <c r="B233" s="2">
        <f>DEC2HEX(A233,2)</f>
        <v/>
      </c>
      <c r="C233" s="2">
        <f>INT(A233/64)</f>
        <v/>
      </c>
      <c r="D233" s="2">
        <f>MOD(A233,64)</f>
        <v/>
      </c>
      <c r="E233" s="2">
        <f>IF(AND(D233=8,OR(C233=1,C233=2)),IFERROR(INDEX(ROM_ALUControl!$J$2:$J$20,MATCH(D233,ROM_ALUControl!$B$2:$B$20,0)),"00"),IF(C233=0,"08",IF(C233=1,"0a",IF(C233=3,"04",IFERROR(INDEX(ROM_ALUControl!$J$2:$J$20,MATCH(D233,ROM_ALUControl!$B$2:$B$20,0)),"00")))))</f>
        <v/>
      </c>
    </row>
    <row r="234">
      <c r="A234" s="2" t="n">
        <v>232</v>
      </c>
      <c r="B234" s="2">
        <f>DEC2HEX(A234,2)</f>
        <v/>
      </c>
      <c r="C234" s="2">
        <f>INT(A234/64)</f>
        <v/>
      </c>
      <c r="D234" s="2">
        <f>MOD(A234,64)</f>
        <v/>
      </c>
      <c r="E234" s="2">
        <f>IF(AND(D234=8,OR(C234=1,C234=2)),IFERROR(INDEX(ROM_ALUControl!$J$2:$J$20,MATCH(D234,ROM_ALUControl!$B$2:$B$20,0)),"00"),IF(C234=0,"08",IF(C234=1,"0a",IF(C234=3,"04",IFERROR(INDEX(ROM_ALUControl!$J$2:$J$20,MATCH(D234,ROM_ALUControl!$B$2:$B$20,0)),"00")))))</f>
        <v/>
      </c>
    </row>
    <row r="235">
      <c r="A235" s="2" t="n">
        <v>233</v>
      </c>
      <c r="B235" s="2">
        <f>DEC2HEX(A235,2)</f>
        <v/>
      </c>
      <c r="C235" s="2">
        <f>INT(A235/64)</f>
        <v/>
      </c>
      <c r="D235" s="2">
        <f>MOD(A235,64)</f>
        <v/>
      </c>
      <c r="E235" s="2">
        <f>IF(AND(D235=8,OR(C235=1,C235=2)),IFERROR(INDEX(ROM_ALUControl!$J$2:$J$20,MATCH(D235,ROM_ALUControl!$B$2:$B$20,0)),"00"),IF(C235=0,"08",IF(C235=1,"0a",IF(C235=3,"04",IFERROR(INDEX(ROM_ALUControl!$J$2:$J$20,MATCH(D235,ROM_ALUControl!$B$2:$B$20,0)),"00")))))</f>
        <v/>
      </c>
    </row>
    <row r="236">
      <c r="A236" s="2" t="n">
        <v>234</v>
      </c>
      <c r="B236" s="2">
        <f>DEC2HEX(A236,2)</f>
        <v/>
      </c>
      <c r="C236" s="2">
        <f>INT(A236/64)</f>
        <v/>
      </c>
      <c r="D236" s="2">
        <f>MOD(A236,64)</f>
        <v/>
      </c>
      <c r="E236" s="2">
        <f>IF(AND(D236=8,OR(C236=1,C236=2)),IFERROR(INDEX(ROM_ALUControl!$J$2:$J$20,MATCH(D236,ROM_ALUControl!$B$2:$B$20,0)),"00"),IF(C236=0,"08",IF(C236=1,"0a",IF(C236=3,"04",IFERROR(INDEX(ROM_ALUControl!$J$2:$J$20,MATCH(D236,ROM_ALUControl!$B$2:$B$20,0)),"00")))))</f>
        <v/>
      </c>
    </row>
    <row r="237">
      <c r="A237" s="2" t="n">
        <v>235</v>
      </c>
      <c r="B237" s="2">
        <f>DEC2HEX(A237,2)</f>
        <v/>
      </c>
      <c r="C237" s="2">
        <f>INT(A237/64)</f>
        <v/>
      </c>
      <c r="D237" s="2">
        <f>MOD(A237,64)</f>
        <v/>
      </c>
      <c r="E237" s="2">
        <f>IF(AND(D237=8,OR(C237=1,C237=2)),IFERROR(INDEX(ROM_ALUControl!$J$2:$J$20,MATCH(D237,ROM_ALUControl!$B$2:$B$20,0)),"00"),IF(C237=0,"08",IF(C237=1,"0a",IF(C237=3,"04",IFERROR(INDEX(ROM_ALUControl!$J$2:$J$20,MATCH(D237,ROM_ALUControl!$B$2:$B$20,0)),"00")))))</f>
        <v/>
      </c>
    </row>
    <row r="238">
      <c r="A238" s="2" t="n">
        <v>236</v>
      </c>
      <c r="B238" s="2">
        <f>DEC2HEX(A238,2)</f>
        <v/>
      </c>
      <c r="C238" s="2">
        <f>INT(A238/64)</f>
        <v/>
      </c>
      <c r="D238" s="2">
        <f>MOD(A238,64)</f>
        <v/>
      </c>
      <c r="E238" s="2">
        <f>IF(AND(D238=8,OR(C238=1,C238=2)),IFERROR(INDEX(ROM_ALUControl!$J$2:$J$20,MATCH(D238,ROM_ALUControl!$B$2:$B$20,0)),"00"),IF(C238=0,"08",IF(C238=1,"0a",IF(C238=3,"04",IFERROR(INDEX(ROM_ALUControl!$J$2:$J$20,MATCH(D238,ROM_ALUControl!$B$2:$B$20,0)),"00")))))</f>
        <v/>
      </c>
    </row>
    <row r="239">
      <c r="A239" s="2" t="n">
        <v>237</v>
      </c>
      <c r="B239" s="2">
        <f>DEC2HEX(A239,2)</f>
        <v/>
      </c>
      <c r="C239" s="2">
        <f>INT(A239/64)</f>
        <v/>
      </c>
      <c r="D239" s="2">
        <f>MOD(A239,64)</f>
        <v/>
      </c>
      <c r="E239" s="2">
        <f>IF(AND(D239=8,OR(C239=1,C239=2)),IFERROR(INDEX(ROM_ALUControl!$J$2:$J$20,MATCH(D239,ROM_ALUControl!$B$2:$B$20,0)),"00"),IF(C239=0,"08",IF(C239=1,"0a",IF(C239=3,"04",IFERROR(INDEX(ROM_ALUControl!$J$2:$J$20,MATCH(D239,ROM_ALUControl!$B$2:$B$20,0)),"00")))))</f>
        <v/>
      </c>
    </row>
    <row r="240">
      <c r="A240" s="2" t="n">
        <v>238</v>
      </c>
      <c r="B240" s="2">
        <f>DEC2HEX(A240,2)</f>
        <v/>
      </c>
      <c r="C240" s="2">
        <f>INT(A240/64)</f>
        <v/>
      </c>
      <c r="D240" s="2">
        <f>MOD(A240,64)</f>
        <v/>
      </c>
      <c r="E240" s="2">
        <f>IF(AND(D240=8,OR(C240=1,C240=2)),IFERROR(INDEX(ROM_ALUControl!$J$2:$J$20,MATCH(D240,ROM_ALUControl!$B$2:$B$20,0)),"00"),IF(C240=0,"08",IF(C240=1,"0a",IF(C240=3,"04",IFERROR(INDEX(ROM_ALUControl!$J$2:$J$20,MATCH(D240,ROM_ALUControl!$B$2:$B$20,0)),"00")))))</f>
        <v/>
      </c>
    </row>
    <row r="241">
      <c r="A241" s="2" t="n">
        <v>239</v>
      </c>
      <c r="B241" s="2">
        <f>DEC2HEX(A241,2)</f>
        <v/>
      </c>
      <c r="C241" s="2">
        <f>INT(A241/64)</f>
        <v/>
      </c>
      <c r="D241" s="2">
        <f>MOD(A241,64)</f>
        <v/>
      </c>
      <c r="E241" s="2">
        <f>IF(AND(D241=8,OR(C241=1,C241=2)),IFERROR(INDEX(ROM_ALUControl!$J$2:$J$20,MATCH(D241,ROM_ALUControl!$B$2:$B$20,0)),"00"),IF(C241=0,"08",IF(C241=1,"0a",IF(C241=3,"04",IFERROR(INDEX(ROM_ALUControl!$J$2:$J$20,MATCH(D241,ROM_ALUControl!$B$2:$B$20,0)),"00")))))</f>
        <v/>
      </c>
    </row>
    <row r="242">
      <c r="A242" s="2" t="n">
        <v>240</v>
      </c>
      <c r="B242" s="2">
        <f>DEC2HEX(A242,2)</f>
        <v/>
      </c>
      <c r="C242" s="2">
        <f>INT(A242/64)</f>
        <v/>
      </c>
      <c r="D242" s="2">
        <f>MOD(A242,64)</f>
        <v/>
      </c>
      <c r="E242" s="2">
        <f>IF(AND(D242=8,OR(C242=1,C242=2)),IFERROR(INDEX(ROM_ALUControl!$J$2:$J$20,MATCH(D242,ROM_ALUControl!$B$2:$B$20,0)),"00"),IF(C242=0,"08",IF(C242=1,"0a",IF(C242=3,"04",IFERROR(INDEX(ROM_ALUControl!$J$2:$J$20,MATCH(D242,ROM_ALUControl!$B$2:$B$20,0)),"00")))))</f>
        <v/>
      </c>
    </row>
    <row r="243">
      <c r="A243" s="2" t="n">
        <v>241</v>
      </c>
      <c r="B243" s="2">
        <f>DEC2HEX(A243,2)</f>
        <v/>
      </c>
      <c r="C243" s="2">
        <f>INT(A243/64)</f>
        <v/>
      </c>
      <c r="D243" s="2">
        <f>MOD(A243,64)</f>
        <v/>
      </c>
      <c r="E243" s="2">
        <f>IF(AND(D243=8,OR(C243=1,C243=2)),IFERROR(INDEX(ROM_ALUControl!$J$2:$J$20,MATCH(D243,ROM_ALUControl!$B$2:$B$20,0)),"00"),IF(C243=0,"08",IF(C243=1,"0a",IF(C243=3,"04",IFERROR(INDEX(ROM_ALUControl!$J$2:$J$20,MATCH(D243,ROM_ALUControl!$B$2:$B$20,0)),"00")))))</f>
        <v/>
      </c>
    </row>
    <row r="244">
      <c r="A244" s="2" t="n">
        <v>242</v>
      </c>
      <c r="B244" s="2">
        <f>DEC2HEX(A244,2)</f>
        <v/>
      </c>
      <c r="C244" s="2">
        <f>INT(A244/64)</f>
        <v/>
      </c>
      <c r="D244" s="2">
        <f>MOD(A244,64)</f>
        <v/>
      </c>
      <c r="E244" s="2">
        <f>IF(AND(D244=8,OR(C244=1,C244=2)),IFERROR(INDEX(ROM_ALUControl!$J$2:$J$20,MATCH(D244,ROM_ALUControl!$B$2:$B$20,0)),"00"),IF(C244=0,"08",IF(C244=1,"0a",IF(C244=3,"04",IFERROR(INDEX(ROM_ALUControl!$J$2:$J$20,MATCH(D244,ROM_ALUControl!$B$2:$B$20,0)),"00")))))</f>
        <v/>
      </c>
    </row>
    <row r="245">
      <c r="A245" s="2" t="n">
        <v>243</v>
      </c>
      <c r="B245" s="2">
        <f>DEC2HEX(A245,2)</f>
        <v/>
      </c>
      <c r="C245" s="2">
        <f>INT(A245/64)</f>
        <v/>
      </c>
      <c r="D245" s="2">
        <f>MOD(A245,64)</f>
        <v/>
      </c>
      <c r="E245" s="2">
        <f>IF(AND(D245=8,OR(C245=1,C245=2)),IFERROR(INDEX(ROM_ALUControl!$J$2:$J$20,MATCH(D245,ROM_ALUControl!$B$2:$B$20,0)),"00"),IF(C245=0,"08",IF(C245=1,"0a",IF(C245=3,"04",IFERROR(INDEX(ROM_ALUControl!$J$2:$J$20,MATCH(D245,ROM_ALUControl!$B$2:$B$20,0)),"00")))))</f>
        <v/>
      </c>
    </row>
    <row r="246">
      <c r="A246" s="2" t="n">
        <v>244</v>
      </c>
      <c r="B246" s="2">
        <f>DEC2HEX(A246,2)</f>
        <v/>
      </c>
      <c r="C246" s="2">
        <f>INT(A246/64)</f>
        <v/>
      </c>
      <c r="D246" s="2">
        <f>MOD(A246,64)</f>
        <v/>
      </c>
      <c r="E246" s="2">
        <f>IF(AND(D246=8,OR(C246=1,C246=2)),IFERROR(INDEX(ROM_ALUControl!$J$2:$J$20,MATCH(D246,ROM_ALUControl!$B$2:$B$20,0)),"00"),IF(C246=0,"08",IF(C246=1,"0a",IF(C246=3,"04",IFERROR(INDEX(ROM_ALUControl!$J$2:$J$20,MATCH(D246,ROM_ALUControl!$B$2:$B$20,0)),"00")))))</f>
        <v/>
      </c>
    </row>
    <row r="247">
      <c r="A247" s="2" t="n">
        <v>245</v>
      </c>
      <c r="B247" s="2">
        <f>DEC2HEX(A247,2)</f>
        <v/>
      </c>
      <c r="C247" s="2">
        <f>INT(A247/64)</f>
        <v/>
      </c>
      <c r="D247" s="2">
        <f>MOD(A247,64)</f>
        <v/>
      </c>
      <c r="E247" s="2">
        <f>IF(AND(D247=8,OR(C247=1,C247=2)),IFERROR(INDEX(ROM_ALUControl!$J$2:$J$20,MATCH(D247,ROM_ALUControl!$B$2:$B$20,0)),"00"),IF(C247=0,"08",IF(C247=1,"0a",IF(C247=3,"04",IFERROR(INDEX(ROM_ALUControl!$J$2:$J$20,MATCH(D247,ROM_ALUControl!$B$2:$B$20,0)),"00")))))</f>
        <v/>
      </c>
    </row>
    <row r="248">
      <c r="A248" s="2" t="n">
        <v>246</v>
      </c>
      <c r="B248" s="2">
        <f>DEC2HEX(A248,2)</f>
        <v/>
      </c>
      <c r="C248" s="2">
        <f>INT(A248/64)</f>
        <v/>
      </c>
      <c r="D248" s="2">
        <f>MOD(A248,64)</f>
        <v/>
      </c>
      <c r="E248" s="2">
        <f>IF(AND(D248=8,OR(C248=1,C248=2)),IFERROR(INDEX(ROM_ALUControl!$J$2:$J$20,MATCH(D248,ROM_ALUControl!$B$2:$B$20,0)),"00"),IF(C248=0,"08",IF(C248=1,"0a",IF(C248=3,"04",IFERROR(INDEX(ROM_ALUControl!$J$2:$J$20,MATCH(D248,ROM_ALUControl!$B$2:$B$20,0)),"00")))))</f>
        <v/>
      </c>
    </row>
    <row r="249">
      <c r="A249" s="2" t="n">
        <v>247</v>
      </c>
      <c r="B249" s="2">
        <f>DEC2HEX(A249,2)</f>
        <v/>
      </c>
      <c r="C249" s="2">
        <f>INT(A249/64)</f>
        <v/>
      </c>
      <c r="D249" s="2">
        <f>MOD(A249,64)</f>
        <v/>
      </c>
      <c r="E249" s="2">
        <f>IF(AND(D249=8,OR(C249=1,C249=2)),IFERROR(INDEX(ROM_ALUControl!$J$2:$J$20,MATCH(D249,ROM_ALUControl!$B$2:$B$20,0)),"00"),IF(C249=0,"08",IF(C249=1,"0a",IF(C249=3,"04",IFERROR(INDEX(ROM_ALUControl!$J$2:$J$20,MATCH(D249,ROM_ALUControl!$B$2:$B$20,0)),"00")))))</f>
        <v/>
      </c>
    </row>
    <row r="250">
      <c r="A250" s="2" t="n">
        <v>248</v>
      </c>
      <c r="B250" s="2">
        <f>DEC2HEX(A250,2)</f>
        <v/>
      </c>
      <c r="C250" s="2">
        <f>INT(A250/64)</f>
        <v/>
      </c>
      <c r="D250" s="2">
        <f>MOD(A250,64)</f>
        <v/>
      </c>
      <c r="E250" s="2">
        <f>IF(AND(D250=8,OR(C250=1,C250=2)),IFERROR(INDEX(ROM_ALUControl!$J$2:$J$20,MATCH(D250,ROM_ALUControl!$B$2:$B$20,0)),"00"),IF(C250=0,"08",IF(C250=1,"0a",IF(C250=3,"04",IFERROR(INDEX(ROM_ALUControl!$J$2:$J$20,MATCH(D250,ROM_ALUControl!$B$2:$B$20,0)),"00")))))</f>
        <v/>
      </c>
    </row>
    <row r="251">
      <c r="A251" s="2" t="n">
        <v>249</v>
      </c>
      <c r="B251" s="2">
        <f>DEC2HEX(A251,2)</f>
        <v/>
      </c>
      <c r="C251" s="2">
        <f>INT(A251/64)</f>
        <v/>
      </c>
      <c r="D251" s="2">
        <f>MOD(A251,64)</f>
        <v/>
      </c>
      <c r="E251" s="2">
        <f>IF(AND(D251=8,OR(C251=1,C251=2)),IFERROR(INDEX(ROM_ALUControl!$J$2:$J$20,MATCH(D251,ROM_ALUControl!$B$2:$B$20,0)),"00"),IF(C251=0,"08",IF(C251=1,"0a",IF(C251=3,"04",IFERROR(INDEX(ROM_ALUControl!$J$2:$J$20,MATCH(D251,ROM_ALUControl!$B$2:$B$20,0)),"00")))))</f>
        <v/>
      </c>
    </row>
    <row r="252">
      <c r="A252" s="2" t="n">
        <v>250</v>
      </c>
      <c r="B252" s="2">
        <f>DEC2HEX(A252,2)</f>
        <v/>
      </c>
      <c r="C252" s="2">
        <f>INT(A252/64)</f>
        <v/>
      </c>
      <c r="D252" s="2">
        <f>MOD(A252,64)</f>
        <v/>
      </c>
      <c r="E252" s="2">
        <f>IF(AND(D252=8,OR(C252=1,C252=2)),IFERROR(INDEX(ROM_ALUControl!$J$2:$J$20,MATCH(D252,ROM_ALUControl!$B$2:$B$20,0)),"00"),IF(C252=0,"08",IF(C252=1,"0a",IF(C252=3,"04",IFERROR(INDEX(ROM_ALUControl!$J$2:$J$20,MATCH(D252,ROM_ALUControl!$B$2:$B$20,0)),"00")))))</f>
        <v/>
      </c>
    </row>
    <row r="253">
      <c r="A253" s="2" t="n">
        <v>251</v>
      </c>
      <c r="B253" s="2">
        <f>DEC2HEX(A253,2)</f>
        <v/>
      </c>
      <c r="C253" s="2">
        <f>INT(A253/64)</f>
        <v/>
      </c>
      <c r="D253" s="2">
        <f>MOD(A253,64)</f>
        <v/>
      </c>
      <c r="E253" s="2">
        <f>IF(AND(D253=8,OR(C253=1,C253=2)),IFERROR(INDEX(ROM_ALUControl!$J$2:$J$20,MATCH(D253,ROM_ALUControl!$B$2:$B$20,0)),"00"),IF(C253=0,"08",IF(C253=1,"0a",IF(C253=3,"04",IFERROR(INDEX(ROM_ALUControl!$J$2:$J$20,MATCH(D253,ROM_ALUControl!$B$2:$B$20,0)),"00")))))</f>
        <v/>
      </c>
    </row>
    <row r="254">
      <c r="A254" s="2" t="n">
        <v>252</v>
      </c>
      <c r="B254" s="2">
        <f>DEC2HEX(A254,2)</f>
        <v/>
      </c>
      <c r="C254" s="2">
        <f>INT(A254/64)</f>
        <v/>
      </c>
      <c r="D254" s="2">
        <f>MOD(A254,64)</f>
        <v/>
      </c>
      <c r="E254" s="2">
        <f>IF(AND(D254=8,OR(C254=1,C254=2)),IFERROR(INDEX(ROM_ALUControl!$J$2:$J$20,MATCH(D254,ROM_ALUControl!$B$2:$B$20,0)),"00"),IF(C254=0,"08",IF(C254=1,"0a",IF(C254=3,"04",IFERROR(INDEX(ROM_ALUControl!$J$2:$J$20,MATCH(D254,ROM_ALUControl!$B$2:$B$20,0)),"00")))))</f>
        <v/>
      </c>
    </row>
    <row r="255">
      <c r="A255" s="2" t="n">
        <v>253</v>
      </c>
      <c r="B255" s="2">
        <f>DEC2HEX(A255,2)</f>
        <v/>
      </c>
      <c r="C255" s="2">
        <f>INT(A255/64)</f>
        <v/>
      </c>
      <c r="D255" s="2">
        <f>MOD(A255,64)</f>
        <v/>
      </c>
      <c r="E255" s="2">
        <f>IF(AND(D255=8,OR(C255=1,C255=2)),IFERROR(INDEX(ROM_ALUControl!$J$2:$J$20,MATCH(D255,ROM_ALUControl!$B$2:$B$20,0)),"00"),IF(C255=0,"08",IF(C255=1,"0a",IF(C255=3,"04",IFERROR(INDEX(ROM_ALUControl!$J$2:$J$20,MATCH(D255,ROM_ALUControl!$B$2:$B$20,0)),"00")))))</f>
        <v/>
      </c>
    </row>
    <row r="256">
      <c r="A256" s="2" t="n">
        <v>254</v>
      </c>
      <c r="B256" s="2">
        <f>DEC2HEX(A256,2)</f>
        <v/>
      </c>
      <c r="C256" s="2">
        <f>INT(A256/64)</f>
        <v/>
      </c>
      <c r="D256" s="2">
        <f>MOD(A256,64)</f>
        <v/>
      </c>
      <c r="E256" s="2">
        <f>IF(AND(D256=8,OR(C256=1,C256=2)),IFERROR(INDEX(ROM_ALUControl!$J$2:$J$20,MATCH(D256,ROM_ALUControl!$B$2:$B$20,0)),"00"),IF(C256=0,"08",IF(C256=1,"0a",IF(C256=3,"04",IFERROR(INDEX(ROM_ALUControl!$J$2:$J$20,MATCH(D256,ROM_ALUControl!$B$2:$B$20,0)),"00")))))</f>
        <v/>
      </c>
    </row>
    <row r="257">
      <c r="A257" s="2" t="n">
        <v>255</v>
      </c>
      <c r="B257" s="2">
        <f>DEC2HEX(A257,2)</f>
        <v/>
      </c>
      <c r="C257" s="2">
        <f>INT(A257/64)</f>
        <v/>
      </c>
      <c r="D257" s="2">
        <f>MOD(A257,64)</f>
        <v/>
      </c>
      <c r="E257" s="2">
        <f>IF(AND(D257=8,OR(C257=1,C257=2)),IFERROR(INDEX(ROM_ALUControl!$J$2:$J$20,MATCH(D257,ROM_ALUControl!$B$2:$B$20,0)),"00"),IF(C257=0,"08",IF(C257=1,"0a",IF(C257=3,"04",IFERROR(INDEX(ROM_ALUControl!$J$2:$J$20,MATCH(D257,ROM_ALUControl!$B$2:$B$20,0)),"00")))))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ROM principale 64 x 14 - cellule A2 ? copier</t>
        </is>
      </c>
    </row>
    <row r="2" ht="145" customHeight="1">
      <c r="A2" s="3">
        <f>"v2.0 raw"&amp;CHAR(10)&amp;A3&amp;CHAR(10)&amp;A4&amp;CHAR(10)&amp;A5&amp;CHAR(10)&amp;A6&amp;CHAR(10)&amp;A7&amp;CHAR(10)&amp;A8&amp;CHAR(10)&amp;A9&amp;CHAR(10)&amp;A10</f>
        <v/>
      </c>
    </row>
    <row r="3" hidden="1">
      <c r="A3">
        <f>Map_ROM_Principale!C2&amp;" "&amp;Map_ROM_Principale!C3&amp;" "&amp;Map_ROM_Principale!C4&amp;" "&amp;Map_ROM_Principale!C5&amp;" "&amp;Map_ROM_Principale!C6&amp;" "&amp;Map_ROM_Principale!C7&amp;" "&amp;Map_ROM_Principale!C8&amp;" "&amp;Map_ROM_Principale!C9</f>
        <v/>
      </c>
    </row>
    <row r="4" hidden="1">
      <c r="A4">
        <f>Map_ROM_Principale!C10&amp;" "&amp;Map_ROM_Principale!C11&amp;" "&amp;Map_ROM_Principale!C12&amp;" "&amp;Map_ROM_Principale!C13&amp;" "&amp;Map_ROM_Principale!C14&amp;" "&amp;Map_ROM_Principale!C15&amp;" "&amp;Map_ROM_Principale!C16&amp;" "&amp;Map_ROM_Principale!C17</f>
        <v/>
      </c>
    </row>
    <row r="5" hidden="1">
      <c r="A5">
        <f>Map_ROM_Principale!C18&amp;" "&amp;Map_ROM_Principale!C19&amp;" "&amp;Map_ROM_Principale!C20&amp;" "&amp;Map_ROM_Principale!C21&amp;" "&amp;Map_ROM_Principale!C22&amp;" "&amp;Map_ROM_Principale!C23&amp;" "&amp;Map_ROM_Principale!C24&amp;" "&amp;Map_ROM_Principale!C25</f>
        <v/>
      </c>
    </row>
    <row r="6" hidden="1">
      <c r="A6">
        <f>Map_ROM_Principale!C26&amp;" "&amp;Map_ROM_Principale!C27&amp;" "&amp;Map_ROM_Principale!C28&amp;" "&amp;Map_ROM_Principale!C29&amp;" "&amp;Map_ROM_Principale!C30&amp;" "&amp;Map_ROM_Principale!C31&amp;" "&amp;Map_ROM_Principale!C32&amp;" "&amp;Map_ROM_Principale!C33</f>
        <v/>
      </c>
    </row>
    <row r="7" hidden="1">
      <c r="A7">
        <f>Map_ROM_Principale!C34&amp;" "&amp;Map_ROM_Principale!C35&amp;" "&amp;Map_ROM_Principale!C36&amp;" "&amp;Map_ROM_Principale!C37&amp;" "&amp;Map_ROM_Principale!C38&amp;" "&amp;Map_ROM_Principale!C39&amp;" "&amp;Map_ROM_Principale!C40&amp;" "&amp;Map_ROM_Principale!C41</f>
        <v/>
      </c>
    </row>
    <row r="8" hidden="1">
      <c r="A8">
        <f>Map_ROM_Principale!C42&amp;" "&amp;Map_ROM_Principale!C43&amp;" "&amp;Map_ROM_Principale!C44&amp;" "&amp;Map_ROM_Principale!C45&amp;" "&amp;Map_ROM_Principale!C46&amp;" "&amp;Map_ROM_Principale!C47&amp;" "&amp;Map_ROM_Principale!C48&amp;" "&amp;Map_ROM_Principale!C49</f>
        <v/>
      </c>
    </row>
    <row r="9" hidden="1">
      <c r="A9">
        <f>Map_ROM_Principale!C50&amp;" "&amp;Map_ROM_Principale!C51&amp;" "&amp;Map_ROM_Principale!C52&amp;" "&amp;Map_ROM_Principale!C53&amp;" "&amp;Map_ROM_Principale!C54&amp;" "&amp;Map_ROM_Principale!C55&amp;" "&amp;Map_ROM_Principale!C56&amp;" "&amp;Map_ROM_Principale!C57</f>
        <v/>
      </c>
    </row>
    <row r="10" hidden="1">
      <c r="A10">
        <f>Map_ROM_Principale!C58&amp;" "&amp;Map_ROM_Principale!C59&amp;" "&amp;Map_ROM_Principale!C60&amp;" "&amp;Map_ROM_Principale!C61&amp;" "&amp;Map_ROM_Principale!C62&amp;" "&amp;Map_ROM_Principale!C63&amp;" "&amp;Map_ROM_Principale!C64&amp;" "&amp;Map_ROM_Principale!C65</f>
        <v/>
      </c>
    </row>
    <row r="13">
      <c r="A13" s="1" t="inlineStr">
        <is>
          <t>ROM ALUControl 256 x 5 - cellule A14 ? copier</t>
        </is>
      </c>
    </row>
    <row r="14" ht="390" customHeight="1">
      <c r="A14" s="3">
        <f>"v2.0 raw"&amp;CHAR(10)&amp;A15&amp;CHAR(10)&amp;A16&amp;CHAR(10)&amp;A17&amp;CHAR(10)&amp;A18&amp;CHAR(10)&amp;A19&amp;CHAR(10)&amp;A20&amp;CHAR(10)&amp;A21&amp;CHAR(10)&amp;A22&amp;CHAR(10)&amp;A23&amp;CHAR(10)&amp;A24&amp;CHAR(10)&amp;A25&amp;CHAR(10)&amp;A26&amp;CHAR(10)&amp;A27&amp;CHAR(10)&amp;A28&amp;CHAR(10)&amp;A29&amp;CHAR(10)&amp;A30&amp;CHAR(10)&amp;A31&amp;CHAR(10)&amp;A32&amp;CHAR(10)&amp;A33&amp;CHAR(10)&amp;A34&amp;CHAR(10)&amp;A35&amp;CHAR(10)&amp;A36&amp;CHAR(10)&amp;A37&amp;CHAR(10)&amp;A38&amp;CHAR(10)&amp;A39&amp;CHAR(10)&amp;A40&amp;CHAR(10)&amp;A41&amp;CHAR(10)&amp;A42&amp;CHAR(10)&amp;A43&amp;CHAR(10)&amp;A44&amp;CHAR(10)&amp;A45&amp;CHAR(10)&amp;A46</f>
        <v/>
      </c>
    </row>
    <row r="15" hidden="1">
      <c r="A15">
        <f>Map_ALUControl!E2&amp;" "&amp;Map_ALUControl!E3&amp;" "&amp;Map_ALUControl!E4&amp;" "&amp;Map_ALUControl!E5&amp;" "&amp;Map_ALUControl!E6&amp;" "&amp;Map_ALUControl!E7&amp;" "&amp;Map_ALUControl!E8&amp;" "&amp;Map_ALUControl!E9</f>
        <v/>
      </c>
    </row>
    <row r="16" hidden="1">
      <c r="A16">
        <f>Map_ALUControl!E10&amp;" "&amp;Map_ALUControl!E11&amp;" "&amp;Map_ALUControl!E12&amp;" "&amp;Map_ALUControl!E13&amp;" "&amp;Map_ALUControl!E14&amp;" "&amp;Map_ALUControl!E15&amp;" "&amp;Map_ALUControl!E16&amp;" "&amp;Map_ALUControl!E17</f>
        <v/>
      </c>
    </row>
    <row r="17" hidden="1">
      <c r="A17">
        <f>Map_ALUControl!E18&amp;" "&amp;Map_ALUControl!E19&amp;" "&amp;Map_ALUControl!E20&amp;" "&amp;Map_ALUControl!E21&amp;" "&amp;Map_ALUControl!E22&amp;" "&amp;Map_ALUControl!E23&amp;" "&amp;Map_ALUControl!E24&amp;" "&amp;Map_ALUControl!E25</f>
        <v/>
      </c>
    </row>
    <row r="18" hidden="1">
      <c r="A18">
        <f>Map_ALUControl!E26&amp;" "&amp;Map_ALUControl!E27&amp;" "&amp;Map_ALUControl!E28&amp;" "&amp;Map_ALUControl!E29&amp;" "&amp;Map_ALUControl!E30&amp;" "&amp;Map_ALUControl!E31&amp;" "&amp;Map_ALUControl!E32&amp;" "&amp;Map_ALUControl!E33</f>
        <v/>
      </c>
    </row>
    <row r="19" hidden="1">
      <c r="A19">
        <f>Map_ALUControl!E34&amp;" "&amp;Map_ALUControl!E35&amp;" "&amp;Map_ALUControl!E36&amp;" "&amp;Map_ALUControl!E37&amp;" "&amp;Map_ALUControl!E38&amp;" "&amp;Map_ALUControl!E39&amp;" "&amp;Map_ALUControl!E40&amp;" "&amp;Map_ALUControl!E41</f>
        <v/>
      </c>
    </row>
    <row r="20" hidden="1">
      <c r="A20">
        <f>Map_ALUControl!E42&amp;" "&amp;Map_ALUControl!E43&amp;" "&amp;Map_ALUControl!E44&amp;" "&amp;Map_ALUControl!E45&amp;" "&amp;Map_ALUControl!E46&amp;" "&amp;Map_ALUControl!E47&amp;" "&amp;Map_ALUControl!E48&amp;" "&amp;Map_ALUControl!E49</f>
        <v/>
      </c>
    </row>
    <row r="21" hidden="1">
      <c r="A21">
        <f>Map_ALUControl!E50&amp;" "&amp;Map_ALUControl!E51&amp;" "&amp;Map_ALUControl!E52&amp;" "&amp;Map_ALUControl!E53&amp;" "&amp;Map_ALUControl!E54&amp;" "&amp;Map_ALUControl!E55&amp;" "&amp;Map_ALUControl!E56&amp;" "&amp;Map_ALUControl!E57</f>
        <v/>
      </c>
    </row>
    <row r="22" hidden="1">
      <c r="A22">
        <f>Map_ALUControl!E58&amp;" "&amp;Map_ALUControl!E59&amp;" "&amp;Map_ALUControl!E60&amp;" "&amp;Map_ALUControl!E61&amp;" "&amp;Map_ALUControl!E62&amp;" "&amp;Map_ALUControl!E63&amp;" "&amp;Map_ALUControl!E64&amp;" "&amp;Map_ALUControl!E65</f>
        <v/>
      </c>
    </row>
    <row r="23" hidden="1">
      <c r="A23">
        <f>Map_ALUControl!E66&amp;" "&amp;Map_ALUControl!E67&amp;" "&amp;Map_ALUControl!E68&amp;" "&amp;Map_ALUControl!E69&amp;" "&amp;Map_ALUControl!E70&amp;" "&amp;Map_ALUControl!E71&amp;" "&amp;Map_ALUControl!E72&amp;" "&amp;Map_ALUControl!E73</f>
        <v/>
      </c>
    </row>
    <row r="24" hidden="1">
      <c r="A24">
        <f>Map_ALUControl!E74&amp;" "&amp;Map_ALUControl!E75&amp;" "&amp;Map_ALUControl!E76&amp;" "&amp;Map_ALUControl!E77&amp;" "&amp;Map_ALUControl!E78&amp;" "&amp;Map_ALUControl!E79&amp;" "&amp;Map_ALUControl!E80&amp;" "&amp;Map_ALUControl!E81</f>
        <v/>
      </c>
    </row>
    <row r="25" hidden="1">
      <c r="A25">
        <f>Map_ALUControl!E82&amp;" "&amp;Map_ALUControl!E83&amp;" "&amp;Map_ALUControl!E84&amp;" "&amp;Map_ALUControl!E85&amp;" "&amp;Map_ALUControl!E86&amp;" "&amp;Map_ALUControl!E87&amp;" "&amp;Map_ALUControl!E88&amp;" "&amp;Map_ALUControl!E89</f>
        <v/>
      </c>
    </row>
    <row r="26" hidden="1">
      <c r="A26">
        <f>Map_ALUControl!E90&amp;" "&amp;Map_ALUControl!E91&amp;" "&amp;Map_ALUControl!E92&amp;" "&amp;Map_ALUControl!E93&amp;" "&amp;Map_ALUControl!E94&amp;" "&amp;Map_ALUControl!E95&amp;" "&amp;Map_ALUControl!E96&amp;" "&amp;Map_ALUControl!E97</f>
        <v/>
      </c>
    </row>
    <row r="27" hidden="1">
      <c r="A27">
        <f>Map_ALUControl!E98&amp;" "&amp;Map_ALUControl!E99&amp;" "&amp;Map_ALUControl!E100&amp;" "&amp;Map_ALUControl!E101&amp;" "&amp;Map_ALUControl!E102&amp;" "&amp;Map_ALUControl!E103&amp;" "&amp;Map_ALUControl!E104&amp;" "&amp;Map_ALUControl!E105</f>
        <v/>
      </c>
    </row>
    <row r="28" hidden="1">
      <c r="A28">
        <f>Map_ALUControl!E106&amp;" "&amp;Map_ALUControl!E107&amp;" "&amp;Map_ALUControl!E108&amp;" "&amp;Map_ALUControl!E109&amp;" "&amp;Map_ALUControl!E110&amp;" "&amp;Map_ALUControl!E111&amp;" "&amp;Map_ALUControl!E112&amp;" "&amp;Map_ALUControl!E113</f>
        <v/>
      </c>
    </row>
    <row r="29" hidden="1">
      <c r="A29">
        <f>Map_ALUControl!E114&amp;" "&amp;Map_ALUControl!E115&amp;" "&amp;Map_ALUControl!E116&amp;" "&amp;Map_ALUControl!E117&amp;" "&amp;Map_ALUControl!E118&amp;" "&amp;Map_ALUControl!E119&amp;" "&amp;Map_ALUControl!E120&amp;" "&amp;Map_ALUControl!E121</f>
        <v/>
      </c>
    </row>
    <row r="30" hidden="1">
      <c r="A30">
        <f>Map_ALUControl!E122&amp;" "&amp;Map_ALUControl!E123&amp;" "&amp;Map_ALUControl!E124&amp;" "&amp;Map_ALUControl!E125&amp;" "&amp;Map_ALUControl!E126&amp;" "&amp;Map_ALUControl!E127&amp;" "&amp;Map_ALUControl!E128&amp;" "&amp;Map_ALUControl!E129</f>
        <v/>
      </c>
    </row>
    <row r="31" hidden="1">
      <c r="A31">
        <f>Map_ALUControl!E130&amp;" "&amp;Map_ALUControl!E131&amp;" "&amp;Map_ALUControl!E132&amp;" "&amp;Map_ALUControl!E133&amp;" "&amp;Map_ALUControl!E134&amp;" "&amp;Map_ALUControl!E135&amp;" "&amp;Map_ALUControl!E136&amp;" "&amp;Map_ALUControl!E137</f>
        <v/>
      </c>
    </row>
    <row r="32" hidden="1">
      <c r="A32">
        <f>Map_ALUControl!E138&amp;" "&amp;Map_ALUControl!E139&amp;" "&amp;Map_ALUControl!E140&amp;" "&amp;Map_ALUControl!E141&amp;" "&amp;Map_ALUControl!E142&amp;" "&amp;Map_ALUControl!E143&amp;" "&amp;Map_ALUControl!E144&amp;" "&amp;Map_ALUControl!E145</f>
        <v/>
      </c>
    </row>
    <row r="33" hidden="1">
      <c r="A33">
        <f>Map_ALUControl!E146&amp;" "&amp;Map_ALUControl!E147&amp;" "&amp;Map_ALUControl!E148&amp;" "&amp;Map_ALUControl!E149&amp;" "&amp;Map_ALUControl!E150&amp;" "&amp;Map_ALUControl!E151&amp;" "&amp;Map_ALUControl!E152&amp;" "&amp;Map_ALUControl!E153</f>
        <v/>
      </c>
    </row>
    <row r="34" hidden="1">
      <c r="A34">
        <f>Map_ALUControl!E154&amp;" "&amp;Map_ALUControl!E155&amp;" "&amp;Map_ALUControl!E156&amp;" "&amp;Map_ALUControl!E157&amp;" "&amp;Map_ALUControl!E158&amp;" "&amp;Map_ALUControl!E159&amp;" "&amp;Map_ALUControl!E160&amp;" "&amp;Map_ALUControl!E161</f>
        <v/>
      </c>
    </row>
    <row r="35" hidden="1">
      <c r="A35">
        <f>Map_ALUControl!E162&amp;" "&amp;Map_ALUControl!E163&amp;" "&amp;Map_ALUControl!E164&amp;" "&amp;Map_ALUControl!E165&amp;" "&amp;Map_ALUControl!E166&amp;" "&amp;Map_ALUControl!E167&amp;" "&amp;Map_ALUControl!E168&amp;" "&amp;Map_ALUControl!E169</f>
        <v/>
      </c>
    </row>
    <row r="36" hidden="1">
      <c r="A36">
        <f>Map_ALUControl!E170&amp;" "&amp;Map_ALUControl!E171&amp;" "&amp;Map_ALUControl!E172&amp;" "&amp;Map_ALUControl!E173&amp;" "&amp;Map_ALUControl!E174&amp;" "&amp;Map_ALUControl!E175&amp;" "&amp;Map_ALUControl!E176&amp;" "&amp;Map_ALUControl!E177</f>
        <v/>
      </c>
    </row>
    <row r="37" hidden="1">
      <c r="A37">
        <f>Map_ALUControl!E178&amp;" "&amp;Map_ALUControl!E179&amp;" "&amp;Map_ALUControl!E180&amp;" "&amp;Map_ALUControl!E181&amp;" "&amp;Map_ALUControl!E182&amp;" "&amp;Map_ALUControl!E183&amp;" "&amp;Map_ALUControl!E184&amp;" "&amp;Map_ALUControl!E185</f>
        <v/>
      </c>
    </row>
    <row r="38" hidden="1">
      <c r="A38">
        <f>Map_ALUControl!E186&amp;" "&amp;Map_ALUControl!E187&amp;" "&amp;Map_ALUControl!E188&amp;" "&amp;Map_ALUControl!E189&amp;" "&amp;Map_ALUControl!E190&amp;" "&amp;Map_ALUControl!E191&amp;" "&amp;Map_ALUControl!E192&amp;" "&amp;Map_ALUControl!E193</f>
        <v/>
      </c>
    </row>
    <row r="39" hidden="1">
      <c r="A39">
        <f>Map_ALUControl!E194&amp;" "&amp;Map_ALUControl!E195&amp;" "&amp;Map_ALUControl!E196&amp;" "&amp;Map_ALUControl!E197&amp;" "&amp;Map_ALUControl!E198&amp;" "&amp;Map_ALUControl!E199&amp;" "&amp;Map_ALUControl!E200&amp;" "&amp;Map_ALUControl!E201</f>
        <v/>
      </c>
    </row>
    <row r="40" hidden="1">
      <c r="A40">
        <f>Map_ALUControl!E202&amp;" "&amp;Map_ALUControl!E203&amp;" "&amp;Map_ALUControl!E204&amp;" "&amp;Map_ALUControl!E205&amp;" "&amp;Map_ALUControl!E206&amp;" "&amp;Map_ALUControl!E207&amp;" "&amp;Map_ALUControl!E208&amp;" "&amp;Map_ALUControl!E209</f>
        <v/>
      </c>
    </row>
    <row r="41" hidden="1">
      <c r="A41">
        <f>Map_ALUControl!E210&amp;" "&amp;Map_ALUControl!E211&amp;" "&amp;Map_ALUControl!E212&amp;" "&amp;Map_ALUControl!E213&amp;" "&amp;Map_ALUControl!E214&amp;" "&amp;Map_ALUControl!E215&amp;" "&amp;Map_ALUControl!E216&amp;" "&amp;Map_ALUControl!E217</f>
        <v/>
      </c>
    </row>
    <row r="42" hidden="1">
      <c r="A42">
        <f>Map_ALUControl!E218&amp;" "&amp;Map_ALUControl!E219&amp;" "&amp;Map_ALUControl!E220&amp;" "&amp;Map_ALUControl!E221&amp;" "&amp;Map_ALUControl!E222&amp;" "&amp;Map_ALUControl!E223&amp;" "&amp;Map_ALUControl!E224&amp;" "&amp;Map_ALUControl!E225</f>
        <v/>
      </c>
    </row>
    <row r="43" hidden="1">
      <c r="A43">
        <f>Map_ALUControl!E226&amp;" "&amp;Map_ALUControl!E227&amp;" "&amp;Map_ALUControl!E228&amp;" "&amp;Map_ALUControl!E229&amp;" "&amp;Map_ALUControl!E230&amp;" "&amp;Map_ALUControl!E231&amp;" "&amp;Map_ALUControl!E232&amp;" "&amp;Map_ALUControl!E233</f>
        <v/>
      </c>
    </row>
    <row r="44" hidden="1">
      <c r="A44">
        <f>Map_ALUControl!E234&amp;" "&amp;Map_ALUControl!E235&amp;" "&amp;Map_ALUControl!E236&amp;" "&amp;Map_ALUControl!E237&amp;" "&amp;Map_ALUControl!E238&amp;" "&amp;Map_ALUControl!E239&amp;" "&amp;Map_ALUControl!E240&amp;" "&amp;Map_ALUControl!E241</f>
        <v/>
      </c>
    </row>
    <row r="45" hidden="1">
      <c r="A45">
        <f>Map_ALUControl!E242&amp;" "&amp;Map_ALUControl!E243&amp;" "&amp;Map_ALUControl!E244&amp;" "&amp;Map_ALUControl!E245&amp;" "&amp;Map_ALUControl!E246&amp;" "&amp;Map_ALUControl!E247&amp;" "&amp;Map_ALUControl!E248&amp;" "&amp;Map_ALUControl!E249</f>
        <v/>
      </c>
    </row>
    <row r="46" hidden="1">
      <c r="A46">
        <f>Map_ALUControl!E250&amp;" "&amp;Map_ALUControl!E251&amp;" "&amp;Map_ALUControl!E252&amp;" "&amp;Map_ALUControl!E253&amp;" "&amp;Map_ALUControl!E254&amp;" "&amp;Map_ALUControl!E255&amp;" "&amp;Map_ALUControl!E256&amp;" "&amp;Map_ALUControl!E257</f>
        <v/>
      </c>
    </row>
  </sheetData>
  <mergeCells count="2">
    <mergeCell ref="A13"/>
    <mergeCell ref="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Classeur r?par? - formules dynamiques</t>
        </is>
      </c>
    </row>
    <row r="2">
      <c r="A2" t="inlineStr">
        <is>
          <t>? copier : Textes_a_coller!A2 pour la ROM principale.</t>
        </is>
      </c>
    </row>
    <row r="3">
      <c r="A3" t="inlineStr">
        <is>
          <t>? copier : Textes_a_coller!A14 pour la ROM ALUControl.</t>
        </is>
      </c>
    </row>
    <row r="4">
      <c r="A4" t="inlineStr">
        <is>
          <t>Les lignes d aide sont masqu?es : elles servent seulement ? garder des formules courtes et compatibles.</t>
        </is>
      </c>
    </row>
    <row r="5">
      <c r="A5" t="inlineStr">
        <is>
          <t>Les colonnes DEC sont num?riques; les colonnes HEX sont g?n?r?es avec DEC2HEX.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2026-05-22T01:49:38Z</dcterms:created>
  <dcterms:modified xsi:type="dcterms:W3CDTF">2026-05-22T01:49:38Z</dcterms:modified>
</cp:coreProperties>
</file>